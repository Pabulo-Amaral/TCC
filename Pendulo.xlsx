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ulo\Desktop\TCC\Arquivos de apoio\"/>
    </mc:Choice>
  </mc:AlternateContent>
  <xr:revisionPtr revIDLastSave="0" documentId="13_ncr:1_{4439F3B5-D0EB-435C-889F-6A061E59F70D}" xr6:coauthVersionLast="47" xr6:coauthVersionMax="47" xr10:uidLastSave="{00000000-0000-0000-0000-000000000000}"/>
  <bookViews>
    <workbookView xWindow="-120" yWindow="-120" windowWidth="20730" windowHeight="11160" xr2:uid="{943E18A3-2B94-4BF4-90F2-B4858AFABA33}"/>
  </bookViews>
  <sheets>
    <sheet name="Dados" sheetId="1" r:id="rId1"/>
    <sheet name="Critério de Routh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3" l="1"/>
  <c r="G10" i="3" l="1"/>
  <c r="H10" i="3" s="1"/>
  <c r="H9" i="3"/>
  <c r="G8" i="3"/>
  <c r="H8" i="3" s="1"/>
  <c r="H13" i="3" s="1"/>
  <c r="K4" i="3"/>
  <c r="K9" i="3" s="1"/>
  <c r="N4" i="3"/>
  <c r="M8" i="3" s="1"/>
  <c r="M4" i="3"/>
  <c r="L9" i="3" s="1"/>
  <c r="L4" i="3"/>
  <c r="L8" i="3" s="1"/>
  <c r="L10" i="3" l="1"/>
  <c r="M10" i="3"/>
  <c r="K10" i="3"/>
  <c r="M11" i="3" l="1"/>
  <c r="L11" i="3"/>
  <c r="K11" i="3"/>
  <c r="K12" i="3" s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5" i="1"/>
</calcChain>
</file>

<file path=xl/sharedStrings.xml><?xml version="1.0" encoding="utf-8"?>
<sst xmlns="http://schemas.openxmlformats.org/spreadsheetml/2006/main" count="26" uniqueCount="26">
  <si>
    <t>Tempo</t>
  </si>
  <si>
    <t>Bit</t>
  </si>
  <si>
    <t>θ (EAD)</t>
  </si>
  <si>
    <t>θ (Rad)</t>
  </si>
  <si>
    <t>Distância (cm)</t>
  </si>
  <si>
    <t>Distância(m)</t>
  </si>
  <si>
    <t>Dados de dos sensores</t>
  </si>
  <si>
    <t>Consantantes de controle</t>
  </si>
  <si>
    <t>Polinômio característico</t>
  </si>
  <si>
    <t>kd</t>
  </si>
  <si>
    <t>a</t>
  </si>
  <si>
    <t>b</t>
  </si>
  <si>
    <t>c</t>
  </si>
  <si>
    <t>d</t>
  </si>
  <si>
    <t>e</t>
  </si>
  <si>
    <t>kp</t>
  </si>
  <si>
    <t>ki</t>
  </si>
  <si>
    <t>CRITÉRIO DE ROUTH</t>
  </si>
  <si>
    <t>s4</t>
  </si>
  <si>
    <t>s3</t>
  </si>
  <si>
    <t>s2</t>
  </si>
  <si>
    <t>s1</t>
  </si>
  <si>
    <t>s0</t>
  </si>
  <si>
    <t>k1</t>
  </si>
  <si>
    <t>k2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</si>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</sst>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7" formatCode="0.000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 Unicode MS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165" fontId="0" fillId="0" borderId="0" xfId="0" applyNumberFormat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5" borderId="0" xfId="0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8B31-8EA3-46FB-89D2-3AD9961FC4EB}">
  <dimension ref="A3:F204"/>
  <sheetViews>
    <sheetView tabSelected="1" workbookViewId="0">
      <selection activeCell="D5" sqref="D5:D204"/>
    </sheetView>
  </sheetViews>
  <sheetFormatPr defaultRowHeight="15" x14ac:dyDescent="0.25"/>
  <cols>
    <col min="1" max="1" width="9.140625" style="2"/>
    <col min="2" max="2" width="9.140625" style="1"/>
    <col min="3" max="3" width="13.5703125" style="1" bestFit="1" customWidth="1"/>
    <col min="4" max="4" width="12.140625" style="1" bestFit="1" customWidth="1"/>
    <col min="5" max="6" width="9.140625" style="2"/>
  </cols>
  <sheetData>
    <row r="3" spans="1:6" x14ac:dyDescent="0.25">
      <c r="A3" s="17" t="s">
        <v>6</v>
      </c>
      <c r="B3" s="18"/>
      <c r="C3" s="18"/>
      <c r="D3" s="18"/>
      <c r="E3" s="18"/>
      <c r="F3" s="19"/>
    </row>
    <row r="4" spans="1:6" x14ac:dyDescent="0.25">
      <c r="A4" s="8" t="s">
        <v>0</v>
      </c>
      <c r="B4" s="9" t="s">
        <v>1</v>
      </c>
      <c r="C4" s="9" t="s">
        <v>4</v>
      </c>
      <c r="D4" s="9" t="s">
        <v>5</v>
      </c>
      <c r="E4" s="10" t="s">
        <v>2</v>
      </c>
      <c r="F4" s="10" t="s">
        <v>3</v>
      </c>
    </row>
    <row r="5" spans="1:6" x14ac:dyDescent="0.25">
      <c r="A5" s="5">
        <v>0</v>
      </c>
      <c r="B5" s="4">
        <v>1</v>
      </c>
      <c r="C5" s="26">
        <v>15.84</v>
      </c>
      <c r="D5" s="27">
        <f>C5/100</f>
        <v>0.15839999999999999</v>
      </c>
      <c r="E5" s="3">
        <v>1836</v>
      </c>
      <c r="F5" s="6">
        <f>E5*2*3.14/4096</f>
        <v>2.8149609375</v>
      </c>
    </row>
    <row r="6" spans="1:6" x14ac:dyDescent="0.25">
      <c r="A6" s="5">
        <v>0.01</v>
      </c>
      <c r="B6" s="4">
        <v>1</v>
      </c>
      <c r="C6" s="26">
        <v>15.9</v>
      </c>
      <c r="D6" s="27">
        <f t="shared" ref="D6:D69" si="0">C6/100</f>
        <v>0.159</v>
      </c>
      <c r="E6" s="3">
        <v>2092</v>
      </c>
      <c r="F6" s="6">
        <f t="shared" ref="F6:F69" si="1">E6*2*3.14/4096</f>
        <v>3.2074609375000001</v>
      </c>
    </row>
    <row r="7" spans="1:6" x14ac:dyDescent="0.25">
      <c r="A7" s="5">
        <v>0.02</v>
      </c>
      <c r="B7" s="4">
        <v>1</v>
      </c>
      <c r="C7" s="26">
        <v>15.13</v>
      </c>
      <c r="D7" s="27">
        <f t="shared" si="0"/>
        <v>0.15130000000000002</v>
      </c>
      <c r="E7" s="3">
        <v>1984</v>
      </c>
      <c r="F7" s="6">
        <f t="shared" si="1"/>
        <v>3.0418750000000001</v>
      </c>
    </row>
    <row r="8" spans="1:6" x14ac:dyDescent="0.25">
      <c r="A8" s="5">
        <v>0.03</v>
      </c>
      <c r="B8" s="4">
        <v>1</v>
      </c>
      <c r="C8" s="26">
        <v>14.77</v>
      </c>
      <c r="D8" s="27">
        <f t="shared" si="0"/>
        <v>0.1477</v>
      </c>
      <c r="E8" s="3">
        <v>2255</v>
      </c>
      <c r="F8" s="6">
        <f t="shared" si="1"/>
        <v>3.4573730468750004</v>
      </c>
    </row>
    <row r="9" spans="1:6" x14ac:dyDescent="0.25">
      <c r="A9" s="5">
        <v>0.04</v>
      </c>
      <c r="B9" s="4">
        <v>0</v>
      </c>
      <c r="C9" s="26">
        <v>16.2</v>
      </c>
      <c r="D9" s="27">
        <f t="shared" si="0"/>
        <v>0.16200000000000001</v>
      </c>
      <c r="E9" s="3">
        <v>2074</v>
      </c>
      <c r="F9" s="6">
        <f t="shared" si="1"/>
        <v>3.1798632812500003</v>
      </c>
    </row>
    <row r="10" spans="1:6" x14ac:dyDescent="0.25">
      <c r="A10" s="7">
        <v>0.05</v>
      </c>
      <c r="B10" s="4">
        <v>0</v>
      </c>
      <c r="C10" s="26">
        <v>15.95</v>
      </c>
      <c r="D10" s="27">
        <f t="shared" si="0"/>
        <v>0.1595</v>
      </c>
      <c r="E10" s="3">
        <v>1746</v>
      </c>
      <c r="F10" s="6">
        <f t="shared" si="1"/>
        <v>2.6769726562500002</v>
      </c>
    </row>
    <row r="11" spans="1:6" x14ac:dyDescent="0.25">
      <c r="A11" s="5">
        <v>0.06</v>
      </c>
      <c r="B11" s="4">
        <v>0</v>
      </c>
      <c r="C11" s="26">
        <v>15.9</v>
      </c>
      <c r="D11" s="27">
        <f t="shared" si="0"/>
        <v>0.159</v>
      </c>
      <c r="E11" s="3">
        <v>2009</v>
      </c>
      <c r="F11" s="6">
        <f t="shared" si="1"/>
        <v>3.0802050781250001</v>
      </c>
    </row>
    <row r="12" spans="1:6" x14ac:dyDescent="0.25">
      <c r="A12" s="5">
        <v>7.0000000000000007E-2</v>
      </c>
      <c r="B12" s="4">
        <v>0</v>
      </c>
      <c r="C12" s="26">
        <v>15.69</v>
      </c>
      <c r="D12" s="27">
        <f t="shared" si="0"/>
        <v>0.15689999999999998</v>
      </c>
      <c r="E12" s="3">
        <v>2023</v>
      </c>
      <c r="F12" s="6">
        <f t="shared" si="1"/>
        <v>3.1016699218750001</v>
      </c>
    </row>
    <row r="13" spans="1:6" x14ac:dyDescent="0.25">
      <c r="A13" s="5">
        <v>0.08</v>
      </c>
      <c r="B13" s="4">
        <v>1</v>
      </c>
      <c r="C13" s="26">
        <v>15.54</v>
      </c>
      <c r="D13" s="27">
        <f t="shared" si="0"/>
        <v>0.15539999999999998</v>
      </c>
      <c r="E13" s="3">
        <v>2082</v>
      </c>
      <c r="F13" s="6">
        <f t="shared" si="1"/>
        <v>3.1921289062500002</v>
      </c>
    </row>
    <row r="14" spans="1:6" x14ac:dyDescent="0.25">
      <c r="A14" s="5">
        <v>0.09</v>
      </c>
      <c r="B14" s="4">
        <v>1</v>
      </c>
      <c r="C14" s="26">
        <v>16.3</v>
      </c>
      <c r="D14" s="27">
        <f t="shared" si="0"/>
        <v>0.16300000000000001</v>
      </c>
      <c r="E14" s="3">
        <v>2059</v>
      </c>
      <c r="F14" s="6">
        <f t="shared" si="1"/>
        <v>3.1568652343750001</v>
      </c>
    </row>
    <row r="15" spans="1:6" x14ac:dyDescent="0.25">
      <c r="A15" s="5">
        <v>0.1</v>
      </c>
      <c r="B15" s="4">
        <v>1</v>
      </c>
      <c r="C15" s="26">
        <v>15.9</v>
      </c>
      <c r="D15" s="27">
        <f t="shared" si="0"/>
        <v>0.159</v>
      </c>
      <c r="E15" s="3">
        <v>2075</v>
      </c>
      <c r="F15" s="6">
        <f t="shared" si="1"/>
        <v>3.181396484375</v>
      </c>
    </row>
    <row r="16" spans="1:6" x14ac:dyDescent="0.25">
      <c r="A16" s="5">
        <v>0.11</v>
      </c>
      <c r="B16" s="4">
        <v>1</v>
      </c>
      <c r="C16" s="26">
        <v>15.18</v>
      </c>
      <c r="D16" s="27">
        <f t="shared" si="0"/>
        <v>0.15179999999999999</v>
      </c>
      <c r="E16" s="3">
        <v>2093</v>
      </c>
      <c r="F16" s="6">
        <f t="shared" si="1"/>
        <v>3.2089941406250002</v>
      </c>
    </row>
    <row r="17" spans="1:6" x14ac:dyDescent="0.25">
      <c r="A17" s="5">
        <v>0.12</v>
      </c>
      <c r="B17" s="4">
        <v>0</v>
      </c>
      <c r="C17" s="26">
        <v>15.23</v>
      </c>
      <c r="D17" s="27">
        <f t="shared" si="0"/>
        <v>0.15229999999999999</v>
      </c>
      <c r="E17" s="3">
        <v>2059</v>
      </c>
      <c r="F17" s="6">
        <f t="shared" si="1"/>
        <v>3.1568652343750001</v>
      </c>
    </row>
    <row r="18" spans="1:6" x14ac:dyDescent="0.25">
      <c r="A18" s="5">
        <v>0.13</v>
      </c>
      <c r="B18" s="4">
        <v>0</v>
      </c>
      <c r="C18" s="26">
        <v>16.2</v>
      </c>
      <c r="D18" s="27">
        <f t="shared" si="0"/>
        <v>0.16200000000000001</v>
      </c>
      <c r="E18" s="3">
        <v>2063</v>
      </c>
      <c r="F18" s="6">
        <f t="shared" si="1"/>
        <v>3.1629980468750003</v>
      </c>
    </row>
    <row r="19" spans="1:6" x14ac:dyDescent="0.25">
      <c r="A19" s="5">
        <v>0.14000000000000001</v>
      </c>
      <c r="B19" s="4">
        <v>0</v>
      </c>
      <c r="C19" s="26">
        <v>16.2</v>
      </c>
      <c r="D19" s="27">
        <f t="shared" si="0"/>
        <v>0.16200000000000001</v>
      </c>
      <c r="E19" s="3">
        <v>2094</v>
      </c>
      <c r="F19" s="6">
        <f t="shared" si="1"/>
        <v>3.2105273437499999</v>
      </c>
    </row>
    <row r="20" spans="1:6" x14ac:dyDescent="0.25">
      <c r="A20" s="5">
        <v>0.15</v>
      </c>
      <c r="B20" s="4">
        <v>0</v>
      </c>
      <c r="C20" s="26">
        <v>15.23</v>
      </c>
      <c r="D20" s="27">
        <f t="shared" si="0"/>
        <v>0.15229999999999999</v>
      </c>
      <c r="E20" s="3">
        <v>2019</v>
      </c>
      <c r="F20" s="6">
        <f t="shared" si="1"/>
        <v>3.0955371093749999</v>
      </c>
    </row>
    <row r="21" spans="1:6" x14ac:dyDescent="0.25">
      <c r="A21" s="5">
        <v>0.16</v>
      </c>
      <c r="B21" s="4">
        <v>0</v>
      </c>
      <c r="C21" s="26">
        <v>15.13</v>
      </c>
      <c r="D21" s="27">
        <f t="shared" si="0"/>
        <v>0.15130000000000002</v>
      </c>
      <c r="E21" s="3">
        <v>2009</v>
      </c>
      <c r="F21" s="6">
        <f t="shared" si="1"/>
        <v>3.0802050781250001</v>
      </c>
    </row>
    <row r="22" spans="1:6" x14ac:dyDescent="0.25">
      <c r="A22" s="5">
        <v>0.17</v>
      </c>
      <c r="B22" s="4">
        <v>0</v>
      </c>
      <c r="C22" s="26">
        <v>15.79</v>
      </c>
      <c r="D22" s="27">
        <f t="shared" si="0"/>
        <v>0.15789999999999998</v>
      </c>
      <c r="E22" s="3">
        <v>2015</v>
      </c>
      <c r="F22" s="6">
        <f t="shared" si="1"/>
        <v>3.0894042968750002</v>
      </c>
    </row>
    <row r="23" spans="1:6" x14ac:dyDescent="0.25">
      <c r="A23" s="5">
        <v>0.18</v>
      </c>
      <c r="B23" s="4">
        <v>0</v>
      </c>
      <c r="C23" s="26">
        <v>14.35</v>
      </c>
      <c r="D23" s="27">
        <f t="shared" si="0"/>
        <v>0.14349999999999999</v>
      </c>
      <c r="E23" s="3">
        <v>2028</v>
      </c>
      <c r="F23" s="6">
        <f t="shared" si="1"/>
        <v>3.1093359375</v>
      </c>
    </row>
    <row r="24" spans="1:6" x14ac:dyDescent="0.25">
      <c r="A24" s="5">
        <v>0.19</v>
      </c>
      <c r="B24" s="4">
        <v>0</v>
      </c>
      <c r="C24" s="26">
        <v>15.44</v>
      </c>
      <c r="D24" s="27">
        <f t="shared" si="0"/>
        <v>0.15439999999999998</v>
      </c>
      <c r="E24" s="3">
        <v>2057</v>
      </c>
      <c r="F24" s="6">
        <f t="shared" si="1"/>
        <v>3.1537988281250002</v>
      </c>
    </row>
    <row r="25" spans="1:6" x14ac:dyDescent="0.25">
      <c r="A25" s="5">
        <v>0.2</v>
      </c>
      <c r="B25" s="4">
        <v>1</v>
      </c>
      <c r="C25" s="26">
        <v>13.96</v>
      </c>
      <c r="D25" s="27">
        <f t="shared" si="0"/>
        <v>0.1396</v>
      </c>
      <c r="E25" s="3">
        <v>2051</v>
      </c>
      <c r="F25" s="6">
        <f t="shared" si="1"/>
        <v>3.1445996093750002</v>
      </c>
    </row>
    <row r="26" spans="1:6" x14ac:dyDescent="0.25">
      <c r="A26" s="5">
        <v>0.21</v>
      </c>
      <c r="B26" s="4">
        <v>1</v>
      </c>
      <c r="C26" s="26">
        <v>14.67</v>
      </c>
      <c r="D26" s="27">
        <f t="shared" si="0"/>
        <v>0.1467</v>
      </c>
      <c r="E26" s="3">
        <v>2095</v>
      </c>
      <c r="F26" s="6">
        <f t="shared" si="1"/>
        <v>3.2120605468750001</v>
      </c>
    </row>
    <row r="27" spans="1:6" x14ac:dyDescent="0.25">
      <c r="A27" s="5">
        <v>0.22</v>
      </c>
      <c r="B27" s="4">
        <v>1</v>
      </c>
      <c r="C27" s="26">
        <v>15.44</v>
      </c>
      <c r="D27" s="27">
        <f t="shared" si="0"/>
        <v>0.15439999999999998</v>
      </c>
      <c r="E27" s="3">
        <v>2253</v>
      </c>
      <c r="F27" s="6">
        <f t="shared" si="1"/>
        <v>3.454306640625</v>
      </c>
    </row>
    <row r="28" spans="1:6" x14ac:dyDescent="0.25">
      <c r="A28" s="5">
        <v>0.23</v>
      </c>
      <c r="B28" s="4">
        <v>1</v>
      </c>
      <c r="C28" s="26">
        <v>14.36</v>
      </c>
      <c r="D28" s="27">
        <f t="shared" si="0"/>
        <v>0.14360000000000001</v>
      </c>
      <c r="E28" s="3">
        <v>2081</v>
      </c>
      <c r="F28" s="6">
        <f t="shared" si="1"/>
        <v>3.1905957031250001</v>
      </c>
    </row>
    <row r="29" spans="1:6" x14ac:dyDescent="0.25">
      <c r="A29" s="5">
        <v>0.24</v>
      </c>
      <c r="B29" s="4">
        <v>1</v>
      </c>
      <c r="C29" s="26">
        <v>15.33</v>
      </c>
      <c r="D29" s="27">
        <f t="shared" si="0"/>
        <v>0.15329999999999999</v>
      </c>
      <c r="E29" s="3">
        <v>2097</v>
      </c>
      <c r="F29" s="6">
        <f t="shared" si="1"/>
        <v>3.215126953125</v>
      </c>
    </row>
    <row r="30" spans="1:6" x14ac:dyDescent="0.25">
      <c r="A30" s="5">
        <v>0.25</v>
      </c>
      <c r="B30" s="4">
        <v>1</v>
      </c>
      <c r="C30" s="26">
        <v>14.7</v>
      </c>
      <c r="D30" s="27">
        <f t="shared" si="0"/>
        <v>0.14699999999999999</v>
      </c>
      <c r="E30" s="3">
        <v>2087</v>
      </c>
      <c r="F30" s="6">
        <f t="shared" si="1"/>
        <v>3.1997949218750001</v>
      </c>
    </row>
    <row r="31" spans="1:6" x14ac:dyDescent="0.25">
      <c r="A31" s="5">
        <v>0.26</v>
      </c>
      <c r="B31" s="4">
        <v>1</v>
      </c>
      <c r="C31" s="26">
        <v>14.36</v>
      </c>
      <c r="D31" s="27">
        <f t="shared" si="0"/>
        <v>0.14360000000000001</v>
      </c>
      <c r="E31" s="3">
        <v>1932</v>
      </c>
      <c r="F31" s="6">
        <f t="shared" si="1"/>
        <v>2.9621484375000002</v>
      </c>
    </row>
    <row r="32" spans="1:6" x14ac:dyDescent="0.25">
      <c r="A32" s="5">
        <v>0.27</v>
      </c>
      <c r="B32" s="4">
        <v>1</v>
      </c>
      <c r="C32" s="26">
        <v>15.49</v>
      </c>
      <c r="D32" s="27">
        <f t="shared" si="0"/>
        <v>0.15490000000000001</v>
      </c>
      <c r="E32" s="3">
        <v>1937</v>
      </c>
      <c r="F32" s="6">
        <f t="shared" si="1"/>
        <v>2.9698144531250001</v>
      </c>
    </row>
    <row r="33" spans="1:6" x14ac:dyDescent="0.25">
      <c r="A33" s="5">
        <v>0.28000000000000003</v>
      </c>
      <c r="B33" s="4">
        <v>0</v>
      </c>
      <c r="C33" s="26">
        <v>15.23</v>
      </c>
      <c r="D33" s="27">
        <f t="shared" si="0"/>
        <v>0.15229999999999999</v>
      </c>
      <c r="E33" s="3">
        <v>1937</v>
      </c>
      <c r="F33" s="6">
        <f t="shared" si="1"/>
        <v>2.9698144531250001</v>
      </c>
    </row>
    <row r="34" spans="1:6" x14ac:dyDescent="0.25">
      <c r="A34" s="5">
        <v>0.28999999999999998</v>
      </c>
      <c r="B34" s="4">
        <v>0</v>
      </c>
      <c r="C34" s="26">
        <v>15.54</v>
      </c>
      <c r="D34" s="27">
        <f t="shared" si="0"/>
        <v>0.15539999999999998</v>
      </c>
      <c r="E34" s="3">
        <v>1932</v>
      </c>
      <c r="F34" s="6">
        <f t="shared" si="1"/>
        <v>2.9621484375000002</v>
      </c>
    </row>
    <row r="35" spans="1:6" x14ac:dyDescent="0.25">
      <c r="A35" s="5">
        <v>0.3</v>
      </c>
      <c r="B35" s="4">
        <v>0</v>
      </c>
      <c r="C35" s="26">
        <v>15.95</v>
      </c>
      <c r="D35" s="27">
        <f t="shared" si="0"/>
        <v>0.1595</v>
      </c>
      <c r="E35" s="3">
        <v>1947</v>
      </c>
      <c r="F35" s="6">
        <f t="shared" si="1"/>
        <v>2.985146484375</v>
      </c>
    </row>
    <row r="36" spans="1:6" x14ac:dyDescent="0.25">
      <c r="A36" s="5">
        <v>0.31</v>
      </c>
      <c r="B36" s="4">
        <v>0</v>
      </c>
      <c r="C36" s="26">
        <v>16.25</v>
      </c>
      <c r="D36" s="27">
        <f t="shared" si="0"/>
        <v>0.16250000000000001</v>
      </c>
      <c r="E36" s="3">
        <v>1960</v>
      </c>
      <c r="F36" s="6">
        <f t="shared" si="1"/>
        <v>3.0050781250000003</v>
      </c>
    </row>
    <row r="37" spans="1:6" x14ac:dyDescent="0.25">
      <c r="A37" s="5">
        <v>0.32</v>
      </c>
      <c r="B37" s="4">
        <v>1</v>
      </c>
      <c r="C37" s="26">
        <v>14.76</v>
      </c>
      <c r="D37" s="27">
        <f t="shared" si="0"/>
        <v>0.14760000000000001</v>
      </c>
      <c r="E37" s="3">
        <v>1983</v>
      </c>
      <c r="F37" s="6">
        <f t="shared" si="1"/>
        <v>3.0403417968749999</v>
      </c>
    </row>
    <row r="38" spans="1:6" x14ac:dyDescent="0.25">
      <c r="A38" s="5">
        <v>0.33</v>
      </c>
      <c r="B38" s="4">
        <v>1</v>
      </c>
      <c r="C38" s="26">
        <v>15.95</v>
      </c>
      <c r="D38" s="27">
        <f t="shared" si="0"/>
        <v>0.1595</v>
      </c>
      <c r="E38" s="3">
        <v>1991</v>
      </c>
      <c r="F38" s="6">
        <f t="shared" si="1"/>
        <v>3.0526074218750003</v>
      </c>
    </row>
    <row r="39" spans="1:6" x14ac:dyDescent="0.25">
      <c r="A39" s="5">
        <v>0.34</v>
      </c>
      <c r="B39" s="4">
        <v>1</v>
      </c>
      <c r="C39" s="26">
        <v>15.13</v>
      </c>
      <c r="D39" s="27">
        <f t="shared" si="0"/>
        <v>0.15130000000000002</v>
      </c>
      <c r="E39" s="3">
        <v>1957</v>
      </c>
      <c r="F39" s="6">
        <f t="shared" si="1"/>
        <v>3.0004785156250002</v>
      </c>
    </row>
    <row r="40" spans="1:6" x14ac:dyDescent="0.25">
      <c r="A40" s="5">
        <v>0.35</v>
      </c>
      <c r="B40" s="4">
        <v>1</v>
      </c>
      <c r="C40" s="26">
        <v>15.23</v>
      </c>
      <c r="D40" s="27">
        <f t="shared" si="0"/>
        <v>0.15229999999999999</v>
      </c>
      <c r="E40" s="3">
        <v>1965</v>
      </c>
      <c r="F40" s="6">
        <f t="shared" si="1"/>
        <v>3.0127441406250002</v>
      </c>
    </row>
    <row r="41" spans="1:6" x14ac:dyDescent="0.25">
      <c r="A41" s="5">
        <v>0.36</v>
      </c>
      <c r="B41" s="4">
        <v>0</v>
      </c>
      <c r="C41" s="26">
        <v>16.2</v>
      </c>
      <c r="D41" s="27">
        <f t="shared" si="0"/>
        <v>0.16200000000000001</v>
      </c>
      <c r="E41" s="3">
        <v>1958</v>
      </c>
      <c r="F41" s="6">
        <f t="shared" si="1"/>
        <v>3.0020117187499999</v>
      </c>
    </row>
    <row r="42" spans="1:6" x14ac:dyDescent="0.25">
      <c r="A42" s="5">
        <v>0.37</v>
      </c>
      <c r="B42" s="4">
        <v>0</v>
      </c>
      <c r="C42" s="26">
        <v>15.95</v>
      </c>
      <c r="D42" s="27">
        <f t="shared" si="0"/>
        <v>0.1595</v>
      </c>
      <c r="E42" s="3">
        <v>2017</v>
      </c>
      <c r="F42" s="6">
        <f t="shared" si="1"/>
        <v>3.0924707031250001</v>
      </c>
    </row>
    <row r="43" spans="1:6" x14ac:dyDescent="0.25">
      <c r="A43" s="5">
        <v>0.38</v>
      </c>
      <c r="B43" s="4">
        <v>0</v>
      </c>
      <c r="C43" s="26">
        <v>15.9</v>
      </c>
      <c r="D43" s="27">
        <f t="shared" si="0"/>
        <v>0.159</v>
      </c>
      <c r="E43" s="3">
        <v>2033</v>
      </c>
      <c r="F43" s="6">
        <f t="shared" si="1"/>
        <v>3.1170019531249999</v>
      </c>
    </row>
    <row r="44" spans="1:6" x14ac:dyDescent="0.25">
      <c r="A44" s="5">
        <v>0.39</v>
      </c>
      <c r="B44" s="4">
        <v>0</v>
      </c>
      <c r="C44" s="26">
        <v>15.69</v>
      </c>
      <c r="D44" s="27">
        <f t="shared" si="0"/>
        <v>0.15689999999999998</v>
      </c>
      <c r="E44" s="3">
        <v>2092</v>
      </c>
      <c r="F44" s="6">
        <f t="shared" si="1"/>
        <v>3.2074609375000001</v>
      </c>
    </row>
    <row r="45" spans="1:6" x14ac:dyDescent="0.25">
      <c r="A45" s="5">
        <v>0.4</v>
      </c>
      <c r="B45" s="4">
        <v>0</v>
      </c>
      <c r="C45" s="26">
        <v>15.54</v>
      </c>
      <c r="D45" s="27">
        <f t="shared" si="0"/>
        <v>0.15539999999999998</v>
      </c>
      <c r="E45" s="3">
        <v>2010</v>
      </c>
      <c r="F45" s="6">
        <f t="shared" si="1"/>
        <v>3.0817382812500003</v>
      </c>
    </row>
    <row r="46" spans="1:6" x14ac:dyDescent="0.25">
      <c r="A46" s="5">
        <v>0.41</v>
      </c>
      <c r="B46" s="4">
        <v>0</v>
      </c>
      <c r="C46" s="26">
        <v>15.79</v>
      </c>
      <c r="D46" s="27">
        <f t="shared" si="0"/>
        <v>0.15789999999999998</v>
      </c>
      <c r="E46" s="3">
        <v>2047</v>
      </c>
      <c r="F46" s="6">
        <f t="shared" si="1"/>
        <v>3.138466796875</v>
      </c>
    </row>
    <row r="47" spans="1:6" x14ac:dyDescent="0.25">
      <c r="A47" s="5">
        <v>0.42</v>
      </c>
      <c r="B47" s="4">
        <v>0</v>
      </c>
      <c r="C47" s="26">
        <v>14.36</v>
      </c>
      <c r="D47" s="27">
        <f t="shared" si="0"/>
        <v>0.14360000000000001</v>
      </c>
      <c r="E47" s="3">
        <v>2111</v>
      </c>
      <c r="F47" s="6">
        <f t="shared" si="1"/>
        <v>3.236591796875</v>
      </c>
    </row>
    <row r="48" spans="1:6" x14ac:dyDescent="0.25">
      <c r="A48" s="5">
        <v>0.43</v>
      </c>
      <c r="B48" s="4">
        <v>0</v>
      </c>
      <c r="C48" s="26">
        <v>15.44</v>
      </c>
      <c r="D48" s="27">
        <f t="shared" si="0"/>
        <v>0.15439999999999998</v>
      </c>
      <c r="E48" s="3">
        <v>2063</v>
      </c>
      <c r="F48" s="6">
        <f t="shared" si="1"/>
        <v>3.1629980468750003</v>
      </c>
    </row>
    <row r="49" spans="1:6" x14ac:dyDescent="0.25">
      <c r="A49" s="5">
        <v>0.44</v>
      </c>
      <c r="B49" s="4">
        <v>0</v>
      </c>
      <c r="C49" s="26">
        <v>13.94</v>
      </c>
      <c r="D49" s="27">
        <f t="shared" si="0"/>
        <v>0.1394</v>
      </c>
      <c r="E49" s="3">
        <v>2043</v>
      </c>
      <c r="F49" s="6">
        <f t="shared" si="1"/>
        <v>3.1323339843750002</v>
      </c>
    </row>
    <row r="50" spans="1:6" x14ac:dyDescent="0.25">
      <c r="A50" s="5">
        <v>0.45</v>
      </c>
      <c r="B50" s="4">
        <v>0</v>
      </c>
      <c r="C50" s="26">
        <v>14.98</v>
      </c>
      <c r="D50" s="27">
        <f t="shared" si="0"/>
        <v>0.14980000000000002</v>
      </c>
      <c r="E50" s="3">
        <v>2086</v>
      </c>
      <c r="F50" s="6">
        <f t="shared" si="1"/>
        <v>3.19826171875</v>
      </c>
    </row>
    <row r="51" spans="1:6" x14ac:dyDescent="0.25">
      <c r="A51" s="5">
        <v>0.46</v>
      </c>
      <c r="B51" s="4">
        <v>0</v>
      </c>
      <c r="C51" s="26">
        <v>13.48</v>
      </c>
      <c r="D51" s="27">
        <f t="shared" si="0"/>
        <v>0.1348</v>
      </c>
      <c r="E51" s="3">
        <v>2169</v>
      </c>
      <c r="F51" s="6">
        <f t="shared" si="1"/>
        <v>3.3255175781249999</v>
      </c>
    </row>
    <row r="52" spans="1:6" x14ac:dyDescent="0.25">
      <c r="A52" s="5">
        <v>0.47</v>
      </c>
      <c r="B52" s="4">
        <v>0</v>
      </c>
      <c r="C52" s="26">
        <v>13.58</v>
      </c>
      <c r="D52" s="27">
        <f t="shared" si="0"/>
        <v>0.1358</v>
      </c>
      <c r="E52" s="3">
        <v>2181</v>
      </c>
      <c r="F52" s="6">
        <f t="shared" si="1"/>
        <v>3.3439160156250001</v>
      </c>
    </row>
    <row r="53" spans="1:6" x14ac:dyDescent="0.25">
      <c r="A53" s="5">
        <v>0.48</v>
      </c>
      <c r="B53" s="4">
        <v>1</v>
      </c>
      <c r="C53" s="26">
        <v>13.84</v>
      </c>
      <c r="D53" s="27">
        <f t="shared" si="0"/>
        <v>0.1384</v>
      </c>
      <c r="E53" s="3">
        <v>2209</v>
      </c>
      <c r="F53" s="6">
        <f t="shared" si="1"/>
        <v>3.3868457031250001</v>
      </c>
    </row>
    <row r="54" spans="1:6" x14ac:dyDescent="0.25">
      <c r="A54" s="5">
        <v>0.49</v>
      </c>
      <c r="B54" s="4">
        <v>1</v>
      </c>
      <c r="C54" s="26">
        <v>12.66</v>
      </c>
      <c r="D54" s="27">
        <f t="shared" si="0"/>
        <v>0.12659999999999999</v>
      </c>
      <c r="E54" s="3">
        <v>2188</v>
      </c>
      <c r="F54" s="6">
        <f t="shared" si="1"/>
        <v>3.3546484375000003</v>
      </c>
    </row>
    <row r="55" spans="1:6" x14ac:dyDescent="0.25">
      <c r="A55" s="5">
        <v>0.5</v>
      </c>
      <c r="B55" s="4">
        <v>1</v>
      </c>
      <c r="C55" s="26">
        <v>13.07</v>
      </c>
      <c r="D55" s="27">
        <f t="shared" si="0"/>
        <v>0.13070000000000001</v>
      </c>
      <c r="E55" s="3">
        <v>2195</v>
      </c>
      <c r="F55" s="6">
        <f t="shared" si="1"/>
        <v>3.3653808593750001</v>
      </c>
    </row>
    <row r="56" spans="1:6" x14ac:dyDescent="0.25">
      <c r="A56" s="5">
        <v>0.51</v>
      </c>
      <c r="B56" s="4">
        <v>1</v>
      </c>
      <c r="C56" s="26">
        <v>13.58</v>
      </c>
      <c r="D56" s="27">
        <f t="shared" si="0"/>
        <v>0.1358</v>
      </c>
      <c r="E56" s="3">
        <v>2095</v>
      </c>
      <c r="F56" s="6">
        <f t="shared" si="1"/>
        <v>3.2120605468750001</v>
      </c>
    </row>
    <row r="57" spans="1:6" x14ac:dyDescent="0.25">
      <c r="A57" s="5">
        <v>0.52</v>
      </c>
      <c r="B57" s="4">
        <v>1</v>
      </c>
      <c r="C57" s="26">
        <v>13.84</v>
      </c>
      <c r="D57" s="27">
        <f t="shared" si="0"/>
        <v>0.1384</v>
      </c>
      <c r="E57" s="3">
        <v>2059</v>
      </c>
      <c r="F57" s="6">
        <f t="shared" si="1"/>
        <v>3.1568652343750001</v>
      </c>
    </row>
    <row r="58" spans="1:6" x14ac:dyDescent="0.25">
      <c r="A58" s="5">
        <v>0.53</v>
      </c>
      <c r="B58" s="4">
        <v>1</v>
      </c>
      <c r="C58" s="26">
        <v>13.07</v>
      </c>
      <c r="D58" s="27">
        <f t="shared" si="0"/>
        <v>0.13070000000000001</v>
      </c>
      <c r="E58" s="3">
        <v>2045</v>
      </c>
      <c r="F58" s="6">
        <f t="shared" si="1"/>
        <v>3.1354003906250001</v>
      </c>
    </row>
    <row r="59" spans="1:6" x14ac:dyDescent="0.25">
      <c r="A59" s="5">
        <v>0.54</v>
      </c>
      <c r="B59" s="4">
        <v>1</v>
      </c>
      <c r="C59" s="26">
        <v>14.04</v>
      </c>
      <c r="D59" s="27">
        <f t="shared" si="0"/>
        <v>0.1404</v>
      </c>
      <c r="E59" s="3">
        <v>2092</v>
      </c>
      <c r="F59" s="6">
        <f t="shared" si="1"/>
        <v>3.2074609375000001</v>
      </c>
    </row>
    <row r="60" spans="1:6" x14ac:dyDescent="0.25">
      <c r="A60" s="5">
        <v>0.55000000000000004</v>
      </c>
      <c r="B60" s="4">
        <v>1</v>
      </c>
      <c r="C60" s="26">
        <v>13.48</v>
      </c>
      <c r="D60" s="27">
        <f t="shared" si="0"/>
        <v>0.1348</v>
      </c>
      <c r="E60" s="3">
        <v>2086</v>
      </c>
      <c r="F60" s="6">
        <f t="shared" si="1"/>
        <v>3.19826171875</v>
      </c>
    </row>
    <row r="61" spans="1:6" x14ac:dyDescent="0.25">
      <c r="A61" s="5">
        <v>0.56000000000000005</v>
      </c>
      <c r="B61" s="4">
        <v>1</v>
      </c>
      <c r="C61" s="26">
        <v>14.98</v>
      </c>
      <c r="D61" s="27">
        <f t="shared" si="0"/>
        <v>0.14980000000000002</v>
      </c>
      <c r="E61" s="3">
        <v>2070</v>
      </c>
      <c r="F61" s="6">
        <f t="shared" si="1"/>
        <v>3.1737304687500001</v>
      </c>
    </row>
    <row r="62" spans="1:6" x14ac:dyDescent="0.25">
      <c r="A62" s="5">
        <v>0.56999999999999995</v>
      </c>
      <c r="B62" s="4">
        <v>1</v>
      </c>
      <c r="C62" s="26">
        <v>13.94</v>
      </c>
      <c r="D62" s="27">
        <f t="shared" si="0"/>
        <v>0.1394</v>
      </c>
      <c r="E62" s="3">
        <v>2070</v>
      </c>
      <c r="F62" s="6">
        <f t="shared" si="1"/>
        <v>3.1737304687500001</v>
      </c>
    </row>
    <row r="63" spans="1:6" x14ac:dyDescent="0.25">
      <c r="A63" s="5">
        <v>0.57999999999999996</v>
      </c>
      <c r="B63" s="4">
        <v>1</v>
      </c>
      <c r="C63" s="26">
        <v>15.08</v>
      </c>
      <c r="D63" s="27">
        <f t="shared" si="0"/>
        <v>0.15079999999999999</v>
      </c>
      <c r="E63" s="3">
        <v>2092</v>
      </c>
      <c r="F63" s="6">
        <f t="shared" si="1"/>
        <v>3.2074609375000001</v>
      </c>
    </row>
    <row r="64" spans="1:6" x14ac:dyDescent="0.25">
      <c r="A64" s="5">
        <v>0.59</v>
      </c>
      <c r="B64" s="4">
        <v>1</v>
      </c>
      <c r="C64" s="26">
        <v>15.33</v>
      </c>
      <c r="D64" s="27">
        <f t="shared" si="0"/>
        <v>0.15329999999999999</v>
      </c>
      <c r="E64" s="3">
        <v>2031</v>
      </c>
      <c r="F64" s="6">
        <f t="shared" si="1"/>
        <v>3.1139355468750001</v>
      </c>
    </row>
    <row r="65" spans="1:6" x14ac:dyDescent="0.25">
      <c r="A65" s="5">
        <v>0.6</v>
      </c>
      <c r="B65" s="4">
        <v>0</v>
      </c>
      <c r="C65" s="26">
        <v>15.23</v>
      </c>
      <c r="D65" s="27">
        <f t="shared" si="0"/>
        <v>0.15229999999999999</v>
      </c>
      <c r="E65" s="3">
        <v>2011</v>
      </c>
      <c r="F65" s="6">
        <f t="shared" si="1"/>
        <v>3.083271484375</v>
      </c>
    </row>
    <row r="66" spans="1:6" x14ac:dyDescent="0.25">
      <c r="A66" s="5">
        <v>0.61</v>
      </c>
      <c r="B66" s="4">
        <v>0</v>
      </c>
      <c r="C66" s="26">
        <v>15.95</v>
      </c>
      <c r="D66" s="27">
        <f t="shared" si="0"/>
        <v>0.1595</v>
      </c>
      <c r="E66" s="3">
        <v>1993</v>
      </c>
      <c r="F66" s="6">
        <f t="shared" si="1"/>
        <v>3.0556738281250002</v>
      </c>
    </row>
    <row r="67" spans="1:6" x14ac:dyDescent="0.25">
      <c r="A67" s="5">
        <v>0.62</v>
      </c>
      <c r="B67" s="4">
        <v>0</v>
      </c>
      <c r="C67" s="26">
        <v>15.18</v>
      </c>
      <c r="D67" s="27">
        <f t="shared" si="0"/>
        <v>0.15179999999999999</v>
      </c>
      <c r="E67" s="3">
        <v>2023</v>
      </c>
      <c r="F67" s="6">
        <f t="shared" si="1"/>
        <v>3.1016699218750001</v>
      </c>
    </row>
    <row r="68" spans="1:6" x14ac:dyDescent="0.25">
      <c r="A68" s="5">
        <v>0.63</v>
      </c>
      <c r="B68" s="4">
        <v>0</v>
      </c>
      <c r="C68" s="26">
        <v>15.95</v>
      </c>
      <c r="D68" s="27">
        <f t="shared" si="0"/>
        <v>0.1595</v>
      </c>
      <c r="E68" s="3">
        <v>2024</v>
      </c>
      <c r="F68" s="6">
        <f t="shared" si="1"/>
        <v>3.1032031250000003</v>
      </c>
    </row>
    <row r="69" spans="1:6" x14ac:dyDescent="0.25">
      <c r="A69" s="5">
        <v>0.64</v>
      </c>
      <c r="B69" s="4">
        <v>1</v>
      </c>
      <c r="C69" s="26">
        <v>15.23</v>
      </c>
      <c r="D69" s="27">
        <f t="shared" si="0"/>
        <v>0.15229999999999999</v>
      </c>
      <c r="E69" s="3">
        <v>1987</v>
      </c>
      <c r="F69" s="6">
        <f t="shared" si="1"/>
        <v>3.0464746093750001</v>
      </c>
    </row>
    <row r="70" spans="1:6" x14ac:dyDescent="0.25">
      <c r="A70" s="5">
        <v>0.65</v>
      </c>
      <c r="B70" s="4">
        <v>1</v>
      </c>
      <c r="C70" s="26">
        <v>15.54</v>
      </c>
      <c r="D70" s="27">
        <f t="shared" ref="D70:D133" si="2">C70/100</f>
        <v>0.15539999999999998</v>
      </c>
      <c r="E70" s="3">
        <v>2018</v>
      </c>
      <c r="F70" s="6">
        <f t="shared" ref="F70:F133" si="3">E70*2*3.14/4096</f>
        <v>3.0940039062500002</v>
      </c>
    </row>
    <row r="71" spans="1:6" x14ac:dyDescent="0.25">
      <c r="A71" s="5">
        <v>0.66</v>
      </c>
      <c r="B71" s="4">
        <v>1</v>
      </c>
      <c r="C71" s="26">
        <v>15.54</v>
      </c>
      <c r="D71" s="27">
        <f t="shared" si="2"/>
        <v>0.15539999999999998</v>
      </c>
      <c r="E71" s="3">
        <v>2010</v>
      </c>
      <c r="F71" s="6">
        <f t="shared" si="3"/>
        <v>3.0817382812500003</v>
      </c>
    </row>
    <row r="72" spans="1:6" x14ac:dyDescent="0.25">
      <c r="A72" s="5">
        <v>0.67</v>
      </c>
      <c r="B72" s="4">
        <v>1</v>
      </c>
      <c r="C72" s="26">
        <v>15.69</v>
      </c>
      <c r="D72" s="27">
        <f t="shared" si="2"/>
        <v>0.15689999999999998</v>
      </c>
      <c r="E72" s="3">
        <v>1996</v>
      </c>
      <c r="F72" s="6">
        <f t="shared" si="3"/>
        <v>3.0602734375000002</v>
      </c>
    </row>
    <row r="73" spans="1:6" x14ac:dyDescent="0.25">
      <c r="A73" s="5">
        <v>0.68</v>
      </c>
      <c r="B73" s="4">
        <v>0</v>
      </c>
      <c r="C73" s="26">
        <v>16.25</v>
      </c>
      <c r="D73" s="27">
        <f t="shared" si="2"/>
        <v>0.16250000000000001</v>
      </c>
      <c r="E73" s="3">
        <v>1997</v>
      </c>
      <c r="F73" s="6">
        <f t="shared" si="3"/>
        <v>3.061806640625</v>
      </c>
    </row>
    <row r="74" spans="1:6" x14ac:dyDescent="0.25">
      <c r="A74" s="5">
        <v>0.69</v>
      </c>
      <c r="B74" s="4">
        <v>0</v>
      </c>
      <c r="C74" s="26">
        <v>15.54</v>
      </c>
      <c r="D74" s="27">
        <f t="shared" si="2"/>
        <v>0.15539999999999998</v>
      </c>
      <c r="E74" s="3">
        <v>2054</v>
      </c>
      <c r="F74" s="6">
        <f t="shared" si="3"/>
        <v>3.1491992187500002</v>
      </c>
    </row>
    <row r="75" spans="1:6" x14ac:dyDescent="0.25">
      <c r="A75" s="5">
        <v>0.7</v>
      </c>
      <c r="B75" s="4">
        <v>0</v>
      </c>
      <c r="C75" s="26">
        <v>15.54</v>
      </c>
      <c r="D75" s="27">
        <f t="shared" si="2"/>
        <v>0.15539999999999998</v>
      </c>
      <c r="E75" s="3">
        <v>2071</v>
      </c>
      <c r="F75" s="6">
        <f t="shared" si="3"/>
        <v>3.1752636718750002</v>
      </c>
    </row>
    <row r="76" spans="1:6" x14ac:dyDescent="0.25">
      <c r="A76" s="5">
        <v>0.71</v>
      </c>
      <c r="B76" s="4">
        <v>0</v>
      </c>
      <c r="C76" s="26">
        <v>15.74</v>
      </c>
      <c r="D76" s="27">
        <f t="shared" si="2"/>
        <v>0.15740000000000001</v>
      </c>
      <c r="E76" s="3">
        <v>2049</v>
      </c>
      <c r="F76" s="6">
        <f t="shared" si="3"/>
        <v>3.1415332031250003</v>
      </c>
    </row>
    <row r="77" spans="1:6" x14ac:dyDescent="0.25">
      <c r="A77" s="5">
        <v>0.72</v>
      </c>
      <c r="B77" s="4">
        <v>1</v>
      </c>
      <c r="C77" s="26">
        <v>14.77</v>
      </c>
      <c r="D77" s="27">
        <f t="shared" si="2"/>
        <v>0.1477</v>
      </c>
      <c r="E77" s="3">
        <v>2027</v>
      </c>
      <c r="F77" s="6">
        <f t="shared" si="3"/>
        <v>3.1078027343750003</v>
      </c>
    </row>
    <row r="78" spans="1:6" x14ac:dyDescent="0.25">
      <c r="A78" s="5">
        <v>0.73</v>
      </c>
      <c r="B78" s="4">
        <v>1</v>
      </c>
      <c r="C78" s="26">
        <v>15.49</v>
      </c>
      <c r="D78" s="27">
        <f t="shared" si="2"/>
        <v>0.15490000000000001</v>
      </c>
      <c r="E78" s="3">
        <v>2017</v>
      </c>
      <c r="F78" s="6">
        <f t="shared" si="3"/>
        <v>3.0924707031250001</v>
      </c>
    </row>
    <row r="79" spans="1:6" x14ac:dyDescent="0.25">
      <c r="A79" s="5">
        <v>0.74</v>
      </c>
      <c r="B79" s="4">
        <v>1</v>
      </c>
      <c r="C79" s="26">
        <v>15.9</v>
      </c>
      <c r="D79" s="27">
        <f t="shared" si="2"/>
        <v>0.159</v>
      </c>
      <c r="E79" s="3">
        <v>2019</v>
      </c>
      <c r="F79" s="6">
        <f t="shared" si="3"/>
        <v>3.0955371093749999</v>
      </c>
    </row>
    <row r="80" spans="1:6" x14ac:dyDescent="0.25">
      <c r="A80" s="5">
        <v>0.75</v>
      </c>
      <c r="B80" s="4">
        <v>1</v>
      </c>
      <c r="C80" s="26">
        <v>15.13</v>
      </c>
      <c r="D80" s="27">
        <f t="shared" si="2"/>
        <v>0.15130000000000002</v>
      </c>
      <c r="E80" s="3">
        <v>1984</v>
      </c>
      <c r="F80" s="6">
        <f t="shared" si="3"/>
        <v>3.0418750000000001</v>
      </c>
    </row>
    <row r="81" spans="1:6" x14ac:dyDescent="0.25">
      <c r="A81" s="5">
        <v>0.76</v>
      </c>
      <c r="B81" s="4">
        <v>0</v>
      </c>
      <c r="C81" s="26">
        <v>15.23</v>
      </c>
      <c r="D81" s="27">
        <f t="shared" si="2"/>
        <v>0.15229999999999999</v>
      </c>
      <c r="E81" s="3">
        <v>1964</v>
      </c>
      <c r="F81" s="6">
        <f t="shared" si="3"/>
        <v>3.0112109375</v>
      </c>
    </row>
    <row r="82" spans="1:6" x14ac:dyDescent="0.25">
      <c r="A82" s="5">
        <v>0.77</v>
      </c>
      <c r="B82" s="4">
        <v>0</v>
      </c>
      <c r="C82" s="26">
        <v>16.2</v>
      </c>
      <c r="D82" s="27">
        <f t="shared" si="2"/>
        <v>0.16200000000000001</v>
      </c>
      <c r="E82" s="3">
        <v>1979</v>
      </c>
      <c r="F82" s="6">
        <f t="shared" si="3"/>
        <v>3.0342089843750002</v>
      </c>
    </row>
    <row r="83" spans="1:6" x14ac:dyDescent="0.25">
      <c r="A83" s="5">
        <v>0.78</v>
      </c>
      <c r="B83" s="4">
        <v>0</v>
      </c>
      <c r="C83" s="26">
        <v>15.74</v>
      </c>
      <c r="D83" s="27">
        <f t="shared" si="2"/>
        <v>0.15740000000000001</v>
      </c>
      <c r="E83" s="3">
        <v>1985</v>
      </c>
      <c r="F83" s="6">
        <f t="shared" si="3"/>
        <v>3.0434082031250003</v>
      </c>
    </row>
    <row r="84" spans="1:6" x14ac:dyDescent="0.25">
      <c r="A84" s="5">
        <v>0.79</v>
      </c>
      <c r="B84" s="4">
        <v>0</v>
      </c>
      <c r="C84" s="26">
        <v>15.23</v>
      </c>
      <c r="D84" s="27">
        <f t="shared" si="2"/>
        <v>0.15229999999999999</v>
      </c>
      <c r="E84" s="3">
        <v>1981</v>
      </c>
      <c r="F84" s="6">
        <f t="shared" si="3"/>
        <v>3.0372753906250001</v>
      </c>
    </row>
    <row r="85" spans="1:6" x14ac:dyDescent="0.25">
      <c r="A85" s="5">
        <v>0.8</v>
      </c>
      <c r="B85" s="4">
        <v>0</v>
      </c>
      <c r="C85" s="26">
        <v>15.54</v>
      </c>
      <c r="D85" s="27">
        <f t="shared" si="2"/>
        <v>0.15539999999999998</v>
      </c>
      <c r="E85" s="3">
        <v>1987</v>
      </c>
      <c r="F85" s="6">
        <f t="shared" si="3"/>
        <v>3.0464746093750001</v>
      </c>
    </row>
    <row r="86" spans="1:6" x14ac:dyDescent="0.25">
      <c r="A86" s="5">
        <v>0.81</v>
      </c>
      <c r="B86" s="4">
        <v>0</v>
      </c>
      <c r="C86" s="26">
        <v>15.33</v>
      </c>
      <c r="D86" s="27">
        <f t="shared" si="2"/>
        <v>0.15329999999999999</v>
      </c>
      <c r="E86" s="3">
        <v>1984</v>
      </c>
      <c r="F86" s="6">
        <f t="shared" si="3"/>
        <v>3.0418750000000001</v>
      </c>
    </row>
    <row r="87" spans="1:6" x14ac:dyDescent="0.25">
      <c r="A87" s="5">
        <v>0.82</v>
      </c>
      <c r="B87" s="4">
        <v>0</v>
      </c>
      <c r="C87" s="26">
        <v>14.36</v>
      </c>
      <c r="D87" s="27">
        <f t="shared" si="2"/>
        <v>0.14360000000000001</v>
      </c>
      <c r="E87" s="3">
        <v>1996</v>
      </c>
      <c r="F87" s="6">
        <f t="shared" si="3"/>
        <v>3.0602734375000002</v>
      </c>
    </row>
    <row r="88" spans="1:6" x14ac:dyDescent="0.25">
      <c r="A88" s="5">
        <v>0.83</v>
      </c>
      <c r="B88" s="4">
        <v>0</v>
      </c>
      <c r="C88" s="26">
        <v>15.44</v>
      </c>
      <c r="D88" s="27">
        <f t="shared" si="2"/>
        <v>0.15439999999999998</v>
      </c>
      <c r="E88" s="3">
        <v>2006</v>
      </c>
      <c r="F88" s="6">
        <f t="shared" si="3"/>
        <v>3.0756054687500001</v>
      </c>
    </row>
    <row r="89" spans="1:6" x14ac:dyDescent="0.25">
      <c r="A89" s="5">
        <v>0.84</v>
      </c>
      <c r="B89" s="4">
        <v>1</v>
      </c>
      <c r="C89" s="26">
        <v>13.94</v>
      </c>
      <c r="D89" s="27">
        <f t="shared" si="2"/>
        <v>0.1394</v>
      </c>
      <c r="E89" s="3">
        <v>2007</v>
      </c>
      <c r="F89" s="6">
        <f t="shared" si="3"/>
        <v>3.0771386718750002</v>
      </c>
    </row>
    <row r="90" spans="1:6" x14ac:dyDescent="0.25">
      <c r="A90" s="5">
        <v>0.85</v>
      </c>
      <c r="B90" s="4">
        <v>1</v>
      </c>
      <c r="C90" s="26">
        <v>15.03</v>
      </c>
      <c r="D90" s="27">
        <f t="shared" si="2"/>
        <v>0.15029999999999999</v>
      </c>
      <c r="E90" s="3">
        <v>2023</v>
      </c>
      <c r="F90" s="6">
        <f t="shared" si="3"/>
        <v>3.1016699218750001</v>
      </c>
    </row>
    <row r="91" spans="1:6" x14ac:dyDescent="0.25">
      <c r="A91" s="5">
        <v>0.86</v>
      </c>
      <c r="B91" s="4">
        <v>1</v>
      </c>
      <c r="C91" s="26">
        <v>15.39</v>
      </c>
      <c r="D91" s="27">
        <f t="shared" si="2"/>
        <v>0.15390000000000001</v>
      </c>
      <c r="E91" s="3">
        <v>2027</v>
      </c>
      <c r="F91" s="6">
        <f t="shared" si="3"/>
        <v>3.1078027343750003</v>
      </c>
    </row>
    <row r="92" spans="1:6" x14ac:dyDescent="0.25">
      <c r="A92" s="5">
        <v>0.87</v>
      </c>
      <c r="B92" s="4">
        <v>1</v>
      </c>
      <c r="C92" s="26">
        <v>13.89</v>
      </c>
      <c r="D92" s="27">
        <f t="shared" si="2"/>
        <v>0.1389</v>
      </c>
      <c r="E92" s="3">
        <v>2030</v>
      </c>
      <c r="F92" s="6">
        <f t="shared" si="3"/>
        <v>3.1124023437499999</v>
      </c>
    </row>
    <row r="93" spans="1:6" x14ac:dyDescent="0.25">
      <c r="A93" s="5">
        <v>0.88</v>
      </c>
      <c r="B93" s="4">
        <v>1</v>
      </c>
      <c r="C93" s="26">
        <v>14.88</v>
      </c>
      <c r="D93" s="27">
        <f t="shared" si="2"/>
        <v>0.14880000000000002</v>
      </c>
      <c r="E93" s="3">
        <v>2031</v>
      </c>
      <c r="F93" s="6">
        <f t="shared" si="3"/>
        <v>3.1139355468750001</v>
      </c>
    </row>
    <row r="94" spans="1:6" x14ac:dyDescent="0.25">
      <c r="A94" s="5">
        <v>0.89</v>
      </c>
      <c r="B94" s="4">
        <v>1</v>
      </c>
      <c r="C94" s="26">
        <v>15.08</v>
      </c>
      <c r="D94" s="27">
        <f t="shared" si="2"/>
        <v>0.15079999999999999</v>
      </c>
      <c r="E94" s="3">
        <v>2051</v>
      </c>
      <c r="F94" s="6">
        <f t="shared" si="3"/>
        <v>3.1445996093750002</v>
      </c>
    </row>
    <row r="95" spans="1:6" x14ac:dyDescent="0.25">
      <c r="A95" s="5">
        <v>0.9</v>
      </c>
      <c r="B95" s="4">
        <v>1</v>
      </c>
      <c r="C95" s="26">
        <v>14.36</v>
      </c>
      <c r="D95" s="27">
        <f t="shared" si="2"/>
        <v>0.14360000000000001</v>
      </c>
      <c r="E95" s="3">
        <v>2049</v>
      </c>
      <c r="F95" s="6">
        <f t="shared" si="3"/>
        <v>3.1415332031250003</v>
      </c>
    </row>
    <row r="96" spans="1:6" x14ac:dyDescent="0.25">
      <c r="A96" s="5">
        <v>0.91</v>
      </c>
      <c r="B96" s="4">
        <v>1</v>
      </c>
      <c r="C96" s="26">
        <v>15.84</v>
      </c>
      <c r="D96" s="27">
        <f t="shared" si="2"/>
        <v>0.15839999999999999</v>
      </c>
      <c r="E96" s="3">
        <v>2022</v>
      </c>
      <c r="F96" s="6">
        <f t="shared" si="3"/>
        <v>3.10013671875</v>
      </c>
    </row>
    <row r="97" spans="1:6" x14ac:dyDescent="0.25">
      <c r="A97" s="5">
        <v>0.92</v>
      </c>
      <c r="B97" s="4">
        <v>0</v>
      </c>
      <c r="C97" s="26">
        <v>15.23</v>
      </c>
      <c r="D97" s="27">
        <f t="shared" si="2"/>
        <v>0.15229999999999999</v>
      </c>
      <c r="E97" s="3">
        <v>1983</v>
      </c>
      <c r="F97" s="6">
        <f t="shared" si="3"/>
        <v>3.0403417968749999</v>
      </c>
    </row>
    <row r="98" spans="1:6" x14ac:dyDescent="0.25">
      <c r="A98" s="5">
        <v>0.93</v>
      </c>
      <c r="B98" s="4">
        <v>0</v>
      </c>
      <c r="C98" s="26">
        <v>15.91</v>
      </c>
      <c r="D98" s="27">
        <f t="shared" si="2"/>
        <v>0.15909999999999999</v>
      </c>
      <c r="E98" s="3">
        <v>1988</v>
      </c>
      <c r="F98" s="6">
        <f t="shared" si="3"/>
        <v>3.0480078125000003</v>
      </c>
    </row>
    <row r="99" spans="1:6" x14ac:dyDescent="0.25">
      <c r="A99" s="5">
        <v>0.94</v>
      </c>
      <c r="B99" s="4">
        <v>0</v>
      </c>
      <c r="C99" s="26">
        <v>15.95</v>
      </c>
      <c r="D99" s="27">
        <f t="shared" si="2"/>
        <v>0.1595</v>
      </c>
      <c r="E99" s="3">
        <v>1983</v>
      </c>
      <c r="F99" s="6">
        <f t="shared" si="3"/>
        <v>3.0403417968749999</v>
      </c>
    </row>
    <row r="100" spans="1:6" x14ac:dyDescent="0.25">
      <c r="A100" s="5">
        <v>0.95</v>
      </c>
      <c r="B100" s="4">
        <v>0</v>
      </c>
      <c r="C100" s="26">
        <v>15.79</v>
      </c>
      <c r="D100" s="27">
        <f t="shared" si="2"/>
        <v>0.15789999999999998</v>
      </c>
      <c r="E100" s="3">
        <v>2014</v>
      </c>
      <c r="F100" s="6">
        <f t="shared" si="3"/>
        <v>3.08787109375</v>
      </c>
    </row>
    <row r="101" spans="1:6" x14ac:dyDescent="0.25">
      <c r="A101" s="5">
        <v>0.96</v>
      </c>
      <c r="B101" s="4">
        <v>1</v>
      </c>
      <c r="C101" s="26">
        <v>14.77</v>
      </c>
      <c r="D101" s="27">
        <f t="shared" si="2"/>
        <v>0.1477</v>
      </c>
      <c r="E101" s="3">
        <v>1981</v>
      </c>
      <c r="F101" s="6">
        <f t="shared" si="3"/>
        <v>3.0372753906250001</v>
      </c>
    </row>
    <row r="102" spans="1:6" x14ac:dyDescent="0.25">
      <c r="A102" s="5">
        <v>0.97</v>
      </c>
      <c r="B102" s="4">
        <v>1</v>
      </c>
      <c r="C102" s="26">
        <v>15.95</v>
      </c>
      <c r="D102" s="27">
        <f t="shared" si="2"/>
        <v>0.1595</v>
      </c>
      <c r="E102" s="3">
        <v>1967</v>
      </c>
      <c r="F102" s="6">
        <f t="shared" si="3"/>
        <v>3.0158105468750001</v>
      </c>
    </row>
    <row r="103" spans="1:6" x14ac:dyDescent="0.25">
      <c r="A103" s="5">
        <v>0.98</v>
      </c>
      <c r="B103" s="4">
        <v>1</v>
      </c>
      <c r="C103" s="26">
        <v>15.13</v>
      </c>
      <c r="D103" s="27">
        <f t="shared" si="2"/>
        <v>0.15130000000000002</v>
      </c>
      <c r="E103" s="3">
        <v>1989</v>
      </c>
      <c r="F103" s="6">
        <f t="shared" si="3"/>
        <v>3.049541015625</v>
      </c>
    </row>
    <row r="104" spans="1:6" x14ac:dyDescent="0.25">
      <c r="A104" s="5">
        <v>0.99</v>
      </c>
      <c r="B104" s="4">
        <v>1</v>
      </c>
      <c r="C104" s="26">
        <v>15.23</v>
      </c>
      <c r="D104" s="27">
        <f t="shared" si="2"/>
        <v>0.15229999999999999</v>
      </c>
      <c r="E104" s="3">
        <v>1983</v>
      </c>
      <c r="F104" s="6">
        <f t="shared" si="3"/>
        <v>3.0403417968749999</v>
      </c>
    </row>
    <row r="105" spans="1:6" x14ac:dyDescent="0.25">
      <c r="A105" s="5">
        <v>1</v>
      </c>
      <c r="B105" s="4">
        <v>0</v>
      </c>
      <c r="C105" s="26">
        <v>16.2</v>
      </c>
      <c r="D105" s="27">
        <f t="shared" si="2"/>
        <v>0.16200000000000001</v>
      </c>
      <c r="E105" s="3">
        <v>1982</v>
      </c>
      <c r="F105" s="6">
        <f t="shared" si="3"/>
        <v>3.0388085937500002</v>
      </c>
    </row>
    <row r="106" spans="1:6" x14ac:dyDescent="0.25">
      <c r="A106" s="5">
        <v>1.01</v>
      </c>
      <c r="B106" s="4">
        <v>0</v>
      </c>
      <c r="C106" s="26">
        <v>15.95</v>
      </c>
      <c r="D106" s="27">
        <f t="shared" si="2"/>
        <v>0.1595</v>
      </c>
      <c r="E106" s="3">
        <v>1982</v>
      </c>
      <c r="F106" s="6">
        <f t="shared" si="3"/>
        <v>3.0388085937500002</v>
      </c>
    </row>
    <row r="107" spans="1:6" x14ac:dyDescent="0.25">
      <c r="A107" s="5">
        <v>1.02</v>
      </c>
      <c r="B107" s="4">
        <v>0</v>
      </c>
      <c r="C107" s="26">
        <v>15.91</v>
      </c>
      <c r="D107" s="27">
        <f t="shared" si="2"/>
        <v>0.15909999999999999</v>
      </c>
      <c r="E107" s="3">
        <v>1987</v>
      </c>
      <c r="F107" s="6">
        <f t="shared" si="3"/>
        <v>3.0464746093750001</v>
      </c>
    </row>
    <row r="108" spans="1:6" x14ac:dyDescent="0.25">
      <c r="A108" s="5">
        <v>1.03</v>
      </c>
      <c r="B108" s="4">
        <v>0</v>
      </c>
      <c r="C108" s="26">
        <v>15.69</v>
      </c>
      <c r="D108" s="27">
        <f t="shared" si="2"/>
        <v>0.15689999999999998</v>
      </c>
      <c r="E108" s="3">
        <v>1996</v>
      </c>
      <c r="F108" s="6">
        <f t="shared" si="3"/>
        <v>3.0602734375000002</v>
      </c>
    </row>
    <row r="109" spans="1:6" x14ac:dyDescent="0.25">
      <c r="A109" s="5">
        <v>1.04</v>
      </c>
      <c r="B109" s="4">
        <v>0</v>
      </c>
      <c r="C109" s="26">
        <v>15.54</v>
      </c>
      <c r="D109" s="27">
        <f t="shared" si="2"/>
        <v>0.15539999999999998</v>
      </c>
      <c r="E109" s="3">
        <v>1996</v>
      </c>
      <c r="F109" s="6">
        <f t="shared" si="3"/>
        <v>3.0602734375000002</v>
      </c>
    </row>
    <row r="110" spans="1:6" x14ac:dyDescent="0.25">
      <c r="A110" s="5">
        <v>1.05</v>
      </c>
      <c r="B110" s="4">
        <v>0</v>
      </c>
      <c r="C110" s="26">
        <v>15.79</v>
      </c>
      <c r="D110" s="27">
        <f t="shared" si="2"/>
        <v>0.15789999999999998</v>
      </c>
      <c r="E110" s="3">
        <v>2019</v>
      </c>
      <c r="F110" s="6">
        <f t="shared" si="3"/>
        <v>3.0955371093749999</v>
      </c>
    </row>
    <row r="111" spans="1:6" x14ac:dyDescent="0.25">
      <c r="A111" s="5">
        <v>1.06</v>
      </c>
      <c r="B111" s="4">
        <v>0</v>
      </c>
      <c r="C111" s="26">
        <v>14.36</v>
      </c>
      <c r="D111" s="27">
        <f t="shared" si="2"/>
        <v>0.14360000000000001</v>
      </c>
      <c r="E111" s="3">
        <v>2009</v>
      </c>
      <c r="F111" s="6">
        <f t="shared" si="3"/>
        <v>3.0802050781250001</v>
      </c>
    </row>
    <row r="112" spans="1:6" x14ac:dyDescent="0.25">
      <c r="A112" s="5">
        <v>1.07</v>
      </c>
      <c r="B112" s="4">
        <v>0</v>
      </c>
      <c r="C112" s="26">
        <v>15.44</v>
      </c>
      <c r="D112" s="27">
        <f t="shared" si="2"/>
        <v>0.15439999999999998</v>
      </c>
      <c r="E112" s="3">
        <v>2015</v>
      </c>
      <c r="F112" s="6">
        <f t="shared" si="3"/>
        <v>3.0894042968750002</v>
      </c>
    </row>
    <row r="113" spans="1:6" x14ac:dyDescent="0.25">
      <c r="A113" s="5">
        <v>1.08</v>
      </c>
      <c r="B113" s="4">
        <v>0</v>
      </c>
      <c r="C113" s="26">
        <v>13.94</v>
      </c>
      <c r="D113" s="27">
        <f t="shared" si="2"/>
        <v>0.1394</v>
      </c>
      <c r="E113" s="3">
        <v>2023</v>
      </c>
      <c r="F113" s="6">
        <f t="shared" si="3"/>
        <v>3.1016699218750001</v>
      </c>
    </row>
    <row r="114" spans="1:6" x14ac:dyDescent="0.25">
      <c r="A114" s="5">
        <v>1.0900000000000001</v>
      </c>
      <c r="B114" s="4">
        <v>0</v>
      </c>
      <c r="C114" s="26">
        <v>14.98</v>
      </c>
      <c r="D114" s="27">
        <f t="shared" si="2"/>
        <v>0.14980000000000002</v>
      </c>
      <c r="E114" s="3">
        <v>2031</v>
      </c>
      <c r="F114" s="6">
        <f t="shared" si="3"/>
        <v>3.1139355468750001</v>
      </c>
    </row>
    <row r="115" spans="1:6" x14ac:dyDescent="0.25">
      <c r="A115" s="5">
        <v>1.1000000000000001</v>
      </c>
      <c r="B115" s="4">
        <v>0</v>
      </c>
      <c r="C115" s="26">
        <v>13.48</v>
      </c>
      <c r="D115" s="27">
        <f t="shared" si="2"/>
        <v>0.1348</v>
      </c>
      <c r="E115" s="3">
        <v>2042</v>
      </c>
      <c r="F115" s="6">
        <f t="shared" si="3"/>
        <v>3.1308007812500001</v>
      </c>
    </row>
    <row r="116" spans="1:6" x14ac:dyDescent="0.25">
      <c r="A116" s="5">
        <v>1.1100000000000001</v>
      </c>
      <c r="B116" s="4">
        <v>0</v>
      </c>
      <c r="C116" s="26">
        <v>14.04</v>
      </c>
      <c r="D116" s="27">
        <f t="shared" si="2"/>
        <v>0.1404</v>
      </c>
      <c r="E116" s="3">
        <v>2054</v>
      </c>
      <c r="F116" s="6">
        <f t="shared" si="3"/>
        <v>3.1491992187500002</v>
      </c>
    </row>
    <row r="117" spans="1:6" x14ac:dyDescent="0.25">
      <c r="A117" s="5">
        <v>1.1200000000000001</v>
      </c>
      <c r="B117" s="4">
        <v>1</v>
      </c>
      <c r="C117" s="26">
        <v>13.45</v>
      </c>
      <c r="D117" s="27">
        <f t="shared" si="2"/>
        <v>0.13449999999999998</v>
      </c>
      <c r="E117" s="3">
        <v>2060</v>
      </c>
      <c r="F117" s="6">
        <f t="shared" si="3"/>
        <v>3.1583984375000003</v>
      </c>
    </row>
    <row r="118" spans="1:6" x14ac:dyDescent="0.25">
      <c r="A118" s="5">
        <v>1.1299999999999999</v>
      </c>
      <c r="B118" s="4">
        <v>1</v>
      </c>
      <c r="C118" s="26">
        <v>13.12</v>
      </c>
      <c r="D118" s="27">
        <f t="shared" si="2"/>
        <v>0.13119999999999998</v>
      </c>
      <c r="E118" s="3">
        <v>2061</v>
      </c>
      <c r="F118" s="6">
        <f t="shared" si="3"/>
        <v>3.159931640625</v>
      </c>
    </row>
    <row r="119" spans="1:6" x14ac:dyDescent="0.25">
      <c r="A119" s="5">
        <v>1.1399999999999999</v>
      </c>
      <c r="B119" s="4">
        <v>1</v>
      </c>
      <c r="C119" s="26">
        <v>13.07</v>
      </c>
      <c r="D119" s="27">
        <f t="shared" si="2"/>
        <v>0.13070000000000001</v>
      </c>
      <c r="E119" s="3">
        <v>2069</v>
      </c>
      <c r="F119" s="6">
        <f t="shared" si="3"/>
        <v>3.1721972656249999</v>
      </c>
    </row>
    <row r="120" spans="1:6" x14ac:dyDescent="0.25">
      <c r="A120" s="5">
        <v>1.1499999999999999</v>
      </c>
      <c r="B120" s="4">
        <v>1</v>
      </c>
      <c r="C120" s="26">
        <v>13.58</v>
      </c>
      <c r="D120" s="27">
        <f t="shared" si="2"/>
        <v>0.1358</v>
      </c>
      <c r="E120" s="3">
        <v>2074</v>
      </c>
      <c r="F120" s="6">
        <f t="shared" si="3"/>
        <v>3.1798632812500003</v>
      </c>
    </row>
    <row r="121" spans="1:6" x14ac:dyDescent="0.25">
      <c r="A121" s="5">
        <v>1.1599999999999999</v>
      </c>
      <c r="B121" s="4">
        <v>1</v>
      </c>
      <c r="C121" s="26">
        <v>13.45</v>
      </c>
      <c r="D121" s="27">
        <f t="shared" si="2"/>
        <v>0.13449999999999998</v>
      </c>
      <c r="E121" s="3">
        <v>2075</v>
      </c>
      <c r="F121" s="6">
        <f t="shared" si="3"/>
        <v>3.181396484375</v>
      </c>
    </row>
    <row r="122" spans="1:6" x14ac:dyDescent="0.25">
      <c r="A122" s="5">
        <v>1.17</v>
      </c>
      <c r="B122" s="4">
        <v>1</v>
      </c>
      <c r="C122" s="26">
        <v>13.53</v>
      </c>
      <c r="D122" s="27">
        <f t="shared" si="2"/>
        <v>0.1353</v>
      </c>
      <c r="E122" s="3">
        <v>2059</v>
      </c>
      <c r="F122" s="6">
        <f t="shared" si="3"/>
        <v>3.1568652343750001</v>
      </c>
    </row>
    <row r="123" spans="1:6" x14ac:dyDescent="0.25">
      <c r="A123" s="5">
        <v>1.18</v>
      </c>
      <c r="B123" s="4">
        <v>1</v>
      </c>
      <c r="C123" s="26">
        <v>14.09</v>
      </c>
      <c r="D123" s="27">
        <f t="shared" si="2"/>
        <v>0.1409</v>
      </c>
      <c r="E123" s="3">
        <v>2034</v>
      </c>
      <c r="F123" s="6">
        <f t="shared" si="3"/>
        <v>3.1185351562500001</v>
      </c>
    </row>
    <row r="124" spans="1:6" x14ac:dyDescent="0.25">
      <c r="A124" s="5">
        <v>1.19</v>
      </c>
      <c r="B124" s="4">
        <v>1</v>
      </c>
      <c r="C124" s="26">
        <v>13.48</v>
      </c>
      <c r="D124" s="27">
        <f t="shared" si="2"/>
        <v>0.1348</v>
      </c>
      <c r="E124" s="3">
        <v>2030</v>
      </c>
      <c r="F124" s="6">
        <f t="shared" si="3"/>
        <v>3.1124023437499999</v>
      </c>
    </row>
    <row r="125" spans="1:6" x14ac:dyDescent="0.25">
      <c r="A125" s="5">
        <v>1.2</v>
      </c>
      <c r="B125" s="4">
        <v>1</v>
      </c>
      <c r="C125" s="26">
        <v>15.03</v>
      </c>
      <c r="D125" s="27">
        <f t="shared" si="2"/>
        <v>0.15029999999999999</v>
      </c>
      <c r="E125" s="3">
        <v>2017</v>
      </c>
      <c r="F125" s="6">
        <f t="shared" si="3"/>
        <v>3.0924707031250001</v>
      </c>
    </row>
    <row r="126" spans="1:6" x14ac:dyDescent="0.25">
      <c r="A126" s="5">
        <v>1.21</v>
      </c>
      <c r="B126" s="4">
        <v>1</v>
      </c>
      <c r="C126" s="26">
        <v>13.94</v>
      </c>
      <c r="D126" s="27">
        <f t="shared" si="2"/>
        <v>0.1394</v>
      </c>
      <c r="E126" s="3">
        <v>2011</v>
      </c>
      <c r="F126" s="6">
        <f t="shared" si="3"/>
        <v>3.083271484375</v>
      </c>
    </row>
    <row r="127" spans="1:6" x14ac:dyDescent="0.25">
      <c r="A127" s="5">
        <v>1.22</v>
      </c>
      <c r="B127" s="4">
        <v>1</v>
      </c>
      <c r="C127" s="26">
        <v>14.72</v>
      </c>
      <c r="D127" s="27">
        <f t="shared" si="2"/>
        <v>0.1472</v>
      </c>
      <c r="E127" s="3">
        <v>2002</v>
      </c>
      <c r="F127" s="6">
        <f t="shared" si="3"/>
        <v>3.0694726562500003</v>
      </c>
    </row>
    <row r="128" spans="1:6" x14ac:dyDescent="0.25">
      <c r="A128" s="5">
        <v>1.23</v>
      </c>
      <c r="B128" s="4">
        <v>1</v>
      </c>
      <c r="C128" s="26">
        <v>15.79</v>
      </c>
      <c r="D128" s="27">
        <f t="shared" si="2"/>
        <v>0.15789999999999998</v>
      </c>
      <c r="E128" s="3">
        <v>1998</v>
      </c>
      <c r="F128" s="6">
        <f t="shared" si="3"/>
        <v>3.0633398437500001</v>
      </c>
    </row>
    <row r="129" spans="1:6" x14ac:dyDescent="0.25">
      <c r="A129" s="5">
        <v>1.24</v>
      </c>
      <c r="B129" s="4">
        <v>0</v>
      </c>
      <c r="C129" s="26">
        <v>15.23</v>
      </c>
      <c r="D129" s="27">
        <f t="shared" si="2"/>
        <v>0.15229999999999999</v>
      </c>
      <c r="E129" s="3">
        <v>1990</v>
      </c>
      <c r="F129" s="6">
        <f t="shared" si="3"/>
        <v>3.0510742187500002</v>
      </c>
    </row>
    <row r="130" spans="1:6" x14ac:dyDescent="0.25">
      <c r="A130" s="5">
        <v>1.25</v>
      </c>
      <c r="B130" s="4">
        <v>0</v>
      </c>
      <c r="C130" s="26">
        <v>15.54</v>
      </c>
      <c r="D130" s="27">
        <f t="shared" si="2"/>
        <v>0.15539999999999998</v>
      </c>
      <c r="E130" s="3">
        <v>1969</v>
      </c>
      <c r="F130" s="6">
        <f t="shared" si="3"/>
        <v>3.0188769531249999</v>
      </c>
    </row>
    <row r="131" spans="1:6" x14ac:dyDescent="0.25">
      <c r="A131" s="5">
        <v>1.26</v>
      </c>
      <c r="B131" s="4">
        <v>0</v>
      </c>
      <c r="C131" s="26">
        <v>15.59</v>
      </c>
      <c r="D131" s="27">
        <f t="shared" si="2"/>
        <v>0.15590000000000001</v>
      </c>
      <c r="E131" s="3">
        <v>1971</v>
      </c>
      <c r="F131" s="6">
        <f t="shared" si="3"/>
        <v>3.0219433593750002</v>
      </c>
    </row>
    <row r="132" spans="1:6" x14ac:dyDescent="0.25">
      <c r="A132" s="5">
        <v>1.27</v>
      </c>
      <c r="B132" s="4">
        <v>0</v>
      </c>
      <c r="C132" s="26">
        <v>15.54</v>
      </c>
      <c r="D132" s="27">
        <f t="shared" si="2"/>
        <v>0.15539999999999998</v>
      </c>
      <c r="E132" s="3">
        <v>1962</v>
      </c>
      <c r="F132" s="6">
        <f t="shared" si="3"/>
        <v>3.0081445312500001</v>
      </c>
    </row>
    <row r="133" spans="1:6" x14ac:dyDescent="0.25">
      <c r="A133" s="5">
        <v>1.28</v>
      </c>
      <c r="B133" s="4">
        <v>1</v>
      </c>
      <c r="C133" s="26">
        <v>15.23</v>
      </c>
      <c r="D133" s="27">
        <f t="shared" si="2"/>
        <v>0.15229999999999999</v>
      </c>
      <c r="E133" s="3">
        <v>1960</v>
      </c>
      <c r="F133" s="6">
        <f t="shared" si="3"/>
        <v>3.0050781250000003</v>
      </c>
    </row>
    <row r="134" spans="1:6" x14ac:dyDescent="0.25">
      <c r="A134" s="5">
        <v>1.29</v>
      </c>
      <c r="B134" s="4">
        <v>1</v>
      </c>
      <c r="C134" s="26">
        <v>15.13</v>
      </c>
      <c r="D134" s="27">
        <f t="shared" ref="D134:D197" si="4">C134/100</f>
        <v>0.15130000000000002</v>
      </c>
      <c r="E134" s="3">
        <v>1955</v>
      </c>
      <c r="F134" s="6">
        <f t="shared" ref="F134:F197" si="5">E134*2*3.14/4096</f>
        <v>2.9974121093749999</v>
      </c>
    </row>
    <row r="135" spans="1:6" x14ac:dyDescent="0.25">
      <c r="A135" s="5">
        <v>1.3</v>
      </c>
      <c r="B135" s="4">
        <v>1</v>
      </c>
      <c r="C135" s="26">
        <v>15.18</v>
      </c>
      <c r="D135" s="27">
        <f t="shared" si="4"/>
        <v>0.15179999999999999</v>
      </c>
      <c r="E135" s="3">
        <v>1944</v>
      </c>
      <c r="F135" s="6">
        <f t="shared" si="5"/>
        <v>2.9805468749999999</v>
      </c>
    </row>
    <row r="136" spans="1:6" x14ac:dyDescent="0.25">
      <c r="A136" s="5">
        <v>1.31</v>
      </c>
      <c r="B136" s="4">
        <v>1</v>
      </c>
      <c r="C136" s="26">
        <v>15.69</v>
      </c>
      <c r="D136" s="27">
        <f t="shared" si="4"/>
        <v>0.15689999999999998</v>
      </c>
      <c r="E136" s="3">
        <v>1937</v>
      </c>
      <c r="F136" s="6">
        <f t="shared" si="5"/>
        <v>2.9698144531250001</v>
      </c>
    </row>
    <row r="137" spans="1:6" x14ac:dyDescent="0.25">
      <c r="A137" s="5">
        <v>1.32</v>
      </c>
      <c r="B137" s="4">
        <v>0</v>
      </c>
      <c r="C137" s="26">
        <v>15.9</v>
      </c>
      <c r="D137" s="27">
        <f t="shared" si="4"/>
        <v>0.159</v>
      </c>
      <c r="E137" s="3">
        <v>1942</v>
      </c>
      <c r="F137" s="6">
        <f t="shared" si="5"/>
        <v>2.9774804687500001</v>
      </c>
    </row>
    <row r="138" spans="1:6" x14ac:dyDescent="0.25">
      <c r="A138" s="5">
        <v>1.33</v>
      </c>
      <c r="B138" s="4">
        <v>0</v>
      </c>
      <c r="C138" s="26">
        <v>15.54</v>
      </c>
      <c r="D138" s="27">
        <f t="shared" si="4"/>
        <v>0.15539999999999998</v>
      </c>
      <c r="E138" s="3">
        <v>1934</v>
      </c>
      <c r="F138" s="6">
        <f t="shared" si="5"/>
        <v>2.9652148437500001</v>
      </c>
    </row>
    <row r="139" spans="1:6" x14ac:dyDescent="0.25">
      <c r="A139" s="5">
        <v>1.34</v>
      </c>
      <c r="B139" s="4">
        <v>0</v>
      </c>
      <c r="C139" s="26">
        <v>15.54</v>
      </c>
      <c r="D139" s="27">
        <f t="shared" si="4"/>
        <v>0.15539999999999998</v>
      </c>
      <c r="E139" s="3">
        <v>1926</v>
      </c>
      <c r="F139" s="6">
        <f t="shared" si="5"/>
        <v>2.9529492187500002</v>
      </c>
    </row>
    <row r="140" spans="1:6" x14ac:dyDescent="0.25">
      <c r="A140" s="5">
        <v>1.35</v>
      </c>
      <c r="B140" s="4">
        <v>0</v>
      </c>
      <c r="C140" s="26">
        <v>16.2</v>
      </c>
      <c r="D140" s="27">
        <f t="shared" si="4"/>
        <v>0.16200000000000001</v>
      </c>
      <c r="E140" s="3">
        <v>1926</v>
      </c>
      <c r="F140" s="6">
        <f t="shared" si="5"/>
        <v>2.9529492187500002</v>
      </c>
    </row>
    <row r="141" spans="1:6" x14ac:dyDescent="0.25">
      <c r="A141" s="5">
        <v>1.36</v>
      </c>
      <c r="B141" s="4">
        <v>1</v>
      </c>
      <c r="C141" s="26">
        <v>14.77</v>
      </c>
      <c r="D141" s="27">
        <f t="shared" si="4"/>
        <v>0.1477</v>
      </c>
      <c r="E141" s="3">
        <v>1921</v>
      </c>
      <c r="F141" s="6">
        <f t="shared" si="5"/>
        <v>2.9452832031250002</v>
      </c>
    </row>
    <row r="142" spans="1:6" x14ac:dyDescent="0.25">
      <c r="A142" s="5">
        <v>1.37</v>
      </c>
      <c r="B142" s="4">
        <v>1</v>
      </c>
      <c r="C142" s="26">
        <v>15.49</v>
      </c>
      <c r="D142" s="27">
        <f t="shared" si="4"/>
        <v>0.15490000000000001</v>
      </c>
      <c r="E142" s="3">
        <v>1931</v>
      </c>
      <c r="F142" s="6">
        <f t="shared" si="5"/>
        <v>2.9606152343750001</v>
      </c>
    </row>
    <row r="143" spans="1:6" x14ac:dyDescent="0.25">
      <c r="A143" s="5">
        <v>1.38</v>
      </c>
      <c r="B143" s="4">
        <v>1</v>
      </c>
      <c r="C143" s="26">
        <v>15.49</v>
      </c>
      <c r="D143" s="27">
        <f t="shared" si="4"/>
        <v>0.15490000000000001</v>
      </c>
      <c r="E143" s="3">
        <v>1923</v>
      </c>
      <c r="F143" s="6">
        <f t="shared" si="5"/>
        <v>2.9483496093750001</v>
      </c>
    </row>
    <row r="144" spans="1:6" x14ac:dyDescent="0.25">
      <c r="A144" s="5">
        <v>1.39</v>
      </c>
      <c r="B144" s="4">
        <v>1</v>
      </c>
      <c r="C144" s="26">
        <v>15.18</v>
      </c>
      <c r="D144" s="27">
        <f t="shared" si="4"/>
        <v>0.15179999999999999</v>
      </c>
      <c r="E144" s="3">
        <v>1932</v>
      </c>
      <c r="F144" s="6">
        <f t="shared" si="5"/>
        <v>2.9621484375000002</v>
      </c>
    </row>
    <row r="145" spans="1:6" x14ac:dyDescent="0.25">
      <c r="A145" s="5">
        <v>1.4</v>
      </c>
      <c r="B145" s="4">
        <v>0</v>
      </c>
      <c r="C145" s="26">
        <v>15.23</v>
      </c>
      <c r="D145" s="27">
        <f t="shared" si="4"/>
        <v>0.15229999999999999</v>
      </c>
      <c r="E145" s="3">
        <v>1930</v>
      </c>
      <c r="F145" s="6">
        <f t="shared" si="5"/>
        <v>2.9590820312499999</v>
      </c>
    </row>
    <row r="146" spans="1:6" x14ac:dyDescent="0.25">
      <c r="A146" s="5">
        <v>1.41</v>
      </c>
      <c r="B146" s="4">
        <v>0</v>
      </c>
      <c r="C146" s="26">
        <v>16.2</v>
      </c>
      <c r="D146" s="27">
        <f t="shared" si="4"/>
        <v>0.16200000000000001</v>
      </c>
      <c r="E146" s="3">
        <v>1925</v>
      </c>
      <c r="F146" s="6">
        <f t="shared" si="5"/>
        <v>2.951416015625</v>
      </c>
    </row>
    <row r="147" spans="1:6" x14ac:dyDescent="0.25">
      <c r="A147" s="5">
        <v>1.42</v>
      </c>
      <c r="B147" s="4">
        <v>0</v>
      </c>
      <c r="C147" s="26">
        <v>15.79</v>
      </c>
      <c r="D147" s="27">
        <f t="shared" si="4"/>
        <v>0.15789999999999998</v>
      </c>
      <c r="E147" s="3">
        <v>1911</v>
      </c>
      <c r="F147" s="6">
        <f t="shared" si="5"/>
        <v>2.929951171875</v>
      </c>
    </row>
    <row r="148" spans="1:6" x14ac:dyDescent="0.25">
      <c r="A148" s="5">
        <v>1.43</v>
      </c>
      <c r="B148" s="4">
        <v>0</v>
      </c>
      <c r="C148" s="26">
        <v>15.23</v>
      </c>
      <c r="D148" s="27">
        <f t="shared" si="4"/>
        <v>0.15229999999999999</v>
      </c>
      <c r="E148" s="3">
        <v>1913</v>
      </c>
      <c r="F148" s="6">
        <f t="shared" si="5"/>
        <v>2.9330175781250003</v>
      </c>
    </row>
    <row r="149" spans="1:6" x14ac:dyDescent="0.25">
      <c r="A149" s="5">
        <v>1.44</v>
      </c>
      <c r="B149" s="4">
        <v>0</v>
      </c>
      <c r="C149" s="26">
        <v>15.13</v>
      </c>
      <c r="D149" s="27">
        <f t="shared" si="4"/>
        <v>0.15130000000000002</v>
      </c>
      <c r="E149" s="3">
        <v>1903</v>
      </c>
      <c r="F149" s="6">
        <f t="shared" si="5"/>
        <v>2.917685546875</v>
      </c>
    </row>
    <row r="150" spans="1:6" x14ac:dyDescent="0.25">
      <c r="A150" s="5">
        <v>1.45</v>
      </c>
      <c r="B150" s="4">
        <v>0</v>
      </c>
      <c r="C150" s="26">
        <v>15.79</v>
      </c>
      <c r="D150" s="27">
        <f t="shared" si="4"/>
        <v>0.15789999999999998</v>
      </c>
      <c r="E150" s="3">
        <v>1908</v>
      </c>
      <c r="F150" s="6">
        <f t="shared" si="5"/>
        <v>2.9253515624999999</v>
      </c>
    </row>
    <row r="151" spans="1:6" x14ac:dyDescent="0.25">
      <c r="A151" s="5">
        <v>1.46</v>
      </c>
      <c r="B151" s="4">
        <v>0</v>
      </c>
      <c r="C151" s="26">
        <v>14.36</v>
      </c>
      <c r="D151" s="27">
        <f t="shared" si="4"/>
        <v>0.14360000000000001</v>
      </c>
      <c r="E151" s="3">
        <v>1911</v>
      </c>
      <c r="F151" s="6">
        <f t="shared" si="5"/>
        <v>2.929951171875</v>
      </c>
    </row>
    <row r="152" spans="1:6" x14ac:dyDescent="0.25">
      <c r="A152" s="5">
        <v>1.47</v>
      </c>
      <c r="B152" s="4">
        <v>0</v>
      </c>
      <c r="C152" s="26">
        <v>15.44</v>
      </c>
      <c r="D152" s="27">
        <f t="shared" si="4"/>
        <v>0.15439999999999998</v>
      </c>
      <c r="E152" s="3">
        <v>1915</v>
      </c>
      <c r="F152" s="6">
        <f t="shared" si="5"/>
        <v>2.9360839843750002</v>
      </c>
    </row>
    <row r="153" spans="1:6" x14ac:dyDescent="0.25">
      <c r="A153" s="5">
        <v>1.48</v>
      </c>
      <c r="B153" s="4">
        <v>1</v>
      </c>
      <c r="C153" s="26">
        <v>13.94</v>
      </c>
      <c r="D153" s="27">
        <f t="shared" si="4"/>
        <v>0.1394</v>
      </c>
      <c r="E153" s="3">
        <v>1920</v>
      </c>
      <c r="F153" s="6">
        <f t="shared" si="5"/>
        <v>2.9437500000000001</v>
      </c>
    </row>
    <row r="154" spans="1:6" x14ac:dyDescent="0.25">
      <c r="A154" s="5">
        <v>1.49</v>
      </c>
      <c r="B154" s="4">
        <v>1</v>
      </c>
      <c r="C154" s="26">
        <v>14.25</v>
      </c>
      <c r="D154" s="27">
        <f t="shared" si="4"/>
        <v>0.14249999999999999</v>
      </c>
      <c r="E154" s="3">
        <v>1930</v>
      </c>
      <c r="F154" s="6">
        <f t="shared" si="5"/>
        <v>2.9590820312499999</v>
      </c>
    </row>
    <row r="155" spans="1:6" x14ac:dyDescent="0.25">
      <c r="A155" s="5">
        <v>1.5</v>
      </c>
      <c r="B155" s="4">
        <v>1</v>
      </c>
      <c r="C155" s="26">
        <v>15.03</v>
      </c>
      <c r="D155" s="27">
        <f t="shared" si="4"/>
        <v>0.15029999999999999</v>
      </c>
      <c r="E155" s="3">
        <v>1932</v>
      </c>
      <c r="F155" s="6">
        <f t="shared" si="5"/>
        <v>2.9621484375000002</v>
      </c>
    </row>
    <row r="156" spans="1:6" x14ac:dyDescent="0.25">
      <c r="A156" s="5">
        <v>1.51</v>
      </c>
      <c r="B156" s="4">
        <v>1</v>
      </c>
      <c r="C156" s="26">
        <v>13.48</v>
      </c>
      <c r="D156" s="27">
        <f t="shared" si="4"/>
        <v>0.1348</v>
      </c>
      <c r="E156" s="3">
        <v>1939</v>
      </c>
      <c r="F156" s="6">
        <f t="shared" si="5"/>
        <v>2.972880859375</v>
      </c>
    </row>
    <row r="157" spans="1:6" x14ac:dyDescent="0.25">
      <c r="A157" s="5">
        <v>1.52</v>
      </c>
      <c r="B157" s="4">
        <v>1</v>
      </c>
      <c r="C157" s="26">
        <v>14.91</v>
      </c>
      <c r="D157" s="27">
        <f t="shared" si="4"/>
        <v>0.14910000000000001</v>
      </c>
      <c r="E157" s="3">
        <v>1931</v>
      </c>
      <c r="F157" s="6">
        <f t="shared" si="5"/>
        <v>2.9606152343750001</v>
      </c>
    </row>
    <row r="158" spans="1:6" x14ac:dyDescent="0.25">
      <c r="A158" s="5">
        <v>1.53</v>
      </c>
      <c r="B158" s="4">
        <v>1</v>
      </c>
      <c r="C158" s="26">
        <v>14.7</v>
      </c>
      <c r="D158" s="27">
        <f t="shared" si="4"/>
        <v>0.14699999999999999</v>
      </c>
      <c r="E158" s="3">
        <v>1920</v>
      </c>
      <c r="F158" s="6">
        <f t="shared" si="5"/>
        <v>2.9437500000000001</v>
      </c>
    </row>
    <row r="159" spans="1:6" x14ac:dyDescent="0.25">
      <c r="A159" s="5">
        <v>1.54</v>
      </c>
      <c r="B159" s="4">
        <v>1</v>
      </c>
      <c r="C159" s="26">
        <v>14.36</v>
      </c>
      <c r="D159" s="27">
        <f t="shared" si="4"/>
        <v>0.14360000000000001</v>
      </c>
      <c r="E159" s="3">
        <v>1917</v>
      </c>
      <c r="F159" s="6">
        <f t="shared" si="5"/>
        <v>2.9391503906250001</v>
      </c>
    </row>
    <row r="160" spans="1:6" x14ac:dyDescent="0.25">
      <c r="A160" s="5">
        <v>1.55</v>
      </c>
      <c r="B160" s="4">
        <v>1</v>
      </c>
      <c r="C160" s="26">
        <v>15.9</v>
      </c>
      <c r="D160" s="27">
        <f t="shared" si="4"/>
        <v>0.159</v>
      </c>
      <c r="E160" s="3">
        <v>1915</v>
      </c>
      <c r="F160" s="6">
        <f t="shared" si="5"/>
        <v>2.9360839843750002</v>
      </c>
    </row>
    <row r="161" spans="1:6" x14ac:dyDescent="0.25">
      <c r="A161" s="5">
        <v>1.56</v>
      </c>
      <c r="B161" s="4">
        <v>0</v>
      </c>
      <c r="C161" s="26">
        <v>15.23</v>
      </c>
      <c r="D161" s="27">
        <f t="shared" si="4"/>
        <v>0.15229999999999999</v>
      </c>
      <c r="E161" s="3">
        <v>1907</v>
      </c>
      <c r="F161" s="6">
        <f t="shared" si="5"/>
        <v>2.9238183593750002</v>
      </c>
    </row>
    <row r="162" spans="1:6" x14ac:dyDescent="0.25">
      <c r="A162" s="5">
        <v>1.57</v>
      </c>
      <c r="B162" s="4">
        <v>0</v>
      </c>
      <c r="C162" s="26">
        <v>15.9</v>
      </c>
      <c r="D162" s="27">
        <f t="shared" si="4"/>
        <v>0.159</v>
      </c>
      <c r="E162" s="3">
        <v>1889</v>
      </c>
      <c r="F162" s="6">
        <f t="shared" si="5"/>
        <v>2.896220703125</v>
      </c>
    </row>
    <row r="163" spans="1:6" x14ac:dyDescent="0.25">
      <c r="A163" s="5">
        <v>1.58</v>
      </c>
      <c r="B163" s="4">
        <v>0</v>
      </c>
      <c r="C163" s="26">
        <v>15.95</v>
      </c>
      <c r="D163" s="27">
        <f t="shared" si="4"/>
        <v>0.1595</v>
      </c>
      <c r="E163" s="3">
        <v>1886</v>
      </c>
      <c r="F163" s="6">
        <f t="shared" si="5"/>
        <v>2.89162109375</v>
      </c>
    </row>
    <row r="164" spans="1:6" x14ac:dyDescent="0.25">
      <c r="A164" s="5">
        <v>1.59</v>
      </c>
      <c r="B164" s="4">
        <v>0</v>
      </c>
      <c r="C164" s="26">
        <v>16.2</v>
      </c>
      <c r="D164" s="27">
        <f t="shared" si="4"/>
        <v>0.16200000000000001</v>
      </c>
      <c r="E164" s="3">
        <v>1902</v>
      </c>
      <c r="F164" s="6">
        <f t="shared" si="5"/>
        <v>2.9161523437500003</v>
      </c>
    </row>
    <row r="165" spans="1:6" x14ac:dyDescent="0.25">
      <c r="A165" s="5">
        <v>1.6</v>
      </c>
      <c r="B165" s="4">
        <v>1</v>
      </c>
      <c r="C165" s="26">
        <v>14.77</v>
      </c>
      <c r="D165" s="27">
        <f t="shared" si="4"/>
        <v>0.1477</v>
      </c>
      <c r="E165" s="3">
        <v>1905</v>
      </c>
      <c r="F165" s="6">
        <f t="shared" si="5"/>
        <v>2.9207519531249999</v>
      </c>
    </row>
    <row r="166" spans="1:6" x14ac:dyDescent="0.25">
      <c r="A166" s="5">
        <v>1.61</v>
      </c>
      <c r="B166" s="4">
        <v>1</v>
      </c>
      <c r="C166" s="26">
        <v>15.95</v>
      </c>
      <c r="D166" s="27">
        <f t="shared" si="4"/>
        <v>0.1595</v>
      </c>
      <c r="E166" s="3">
        <v>1914</v>
      </c>
      <c r="F166" s="6">
        <f t="shared" si="5"/>
        <v>2.93455078125</v>
      </c>
    </row>
    <row r="167" spans="1:6" x14ac:dyDescent="0.25">
      <c r="A167" s="5">
        <v>1.62</v>
      </c>
      <c r="B167" s="4">
        <v>1</v>
      </c>
      <c r="C167" s="26">
        <v>15.13</v>
      </c>
      <c r="D167" s="27">
        <f t="shared" si="4"/>
        <v>0.15130000000000002</v>
      </c>
      <c r="E167" s="3">
        <v>1902</v>
      </c>
      <c r="F167" s="6">
        <f t="shared" si="5"/>
        <v>2.9161523437500003</v>
      </c>
    </row>
    <row r="168" spans="1:6" x14ac:dyDescent="0.25">
      <c r="A168" s="5">
        <v>1.63</v>
      </c>
      <c r="B168" s="4">
        <v>1</v>
      </c>
      <c r="C168" s="26">
        <v>15.23</v>
      </c>
      <c r="D168" s="27">
        <f t="shared" si="4"/>
        <v>0.15229999999999999</v>
      </c>
      <c r="E168" s="3">
        <v>1898</v>
      </c>
      <c r="F168" s="6">
        <f t="shared" si="5"/>
        <v>2.9100195312500001</v>
      </c>
    </row>
    <row r="169" spans="1:6" x14ac:dyDescent="0.25">
      <c r="A169" s="5">
        <v>1.64</v>
      </c>
      <c r="B169" s="4">
        <v>0</v>
      </c>
      <c r="C169" s="26">
        <v>16.2</v>
      </c>
      <c r="D169" s="27">
        <f t="shared" si="4"/>
        <v>0.16200000000000001</v>
      </c>
      <c r="E169" s="3">
        <v>1910</v>
      </c>
      <c r="F169" s="6">
        <f t="shared" si="5"/>
        <v>2.9284179687500003</v>
      </c>
    </row>
    <row r="170" spans="1:6" x14ac:dyDescent="0.25">
      <c r="A170" s="5">
        <v>1.65</v>
      </c>
      <c r="B170" s="4">
        <v>0</v>
      </c>
      <c r="C170" s="26">
        <v>15.9</v>
      </c>
      <c r="D170" s="27">
        <f t="shared" si="4"/>
        <v>0.159</v>
      </c>
      <c r="E170" s="3">
        <v>1903</v>
      </c>
      <c r="F170" s="6">
        <f t="shared" si="5"/>
        <v>2.917685546875</v>
      </c>
    </row>
    <row r="171" spans="1:6" x14ac:dyDescent="0.25">
      <c r="A171" s="5">
        <v>1.66</v>
      </c>
      <c r="B171" s="4">
        <v>0</v>
      </c>
      <c r="C171" s="26">
        <v>15.9</v>
      </c>
      <c r="D171" s="27">
        <f t="shared" si="4"/>
        <v>0.159</v>
      </c>
      <c r="E171" s="3">
        <v>1923</v>
      </c>
      <c r="F171" s="6">
        <f t="shared" si="5"/>
        <v>2.9483496093750001</v>
      </c>
    </row>
    <row r="172" spans="1:6" x14ac:dyDescent="0.25">
      <c r="A172" s="5">
        <v>1.67</v>
      </c>
      <c r="B172" s="4">
        <v>0</v>
      </c>
      <c r="C172" s="26">
        <v>15.28</v>
      </c>
      <c r="D172" s="27">
        <f t="shared" si="4"/>
        <v>0.15279999999999999</v>
      </c>
      <c r="E172" s="3">
        <v>1934</v>
      </c>
      <c r="F172" s="6">
        <f t="shared" si="5"/>
        <v>2.9652148437500001</v>
      </c>
    </row>
    <row r="173" spans="1:6" x14ac:dyDescent="0.25">
      <c r="A173" s="5">
        <v>1.68</v>
      </c>
      <c r="B173" s="4">
        <v>0</v>
      </c>
      <c r="C173" s="26">
        <v>15.54</v>
      </c>
      <c r="D173" s="27">
        <f t="shared" si="4"/>
        <v>0.15539999999999998</v>
      </c>
      <c r="E173" s="3">
        <v>1919</v>
      </c>
      <c r="F173" s="6">
        <f t="shared" si="5"/>
        <v>2.9422167968749999</v>
      </c>
    </row>
    <row r="174" spans="1:6" x14ac:dyDescent="0.25">
      <c r="A174" s="5">
        <v>1.69</v>
      </c>
      <c r="B174" s="4">
        <v>0</v>
      </c>
      <c r="C174" s="26">
        <v>15.79</v>
      </c>
      <c r="D174" s="27">
        <f t="shared" si="4"/>
        <v>0.15789999999999998</v>
      </c>
      <c r="E174" s="3">
        <v>1932</v>
      </c>
      <c r="F174" s="6">
        <f t="shared" si="5"/>
        <v>2.9621484375000002</v>
      </c>
    </row>
    <row r="175" spans="1:6" x14ac:dyDescent="0.25">
      <c r="A175" s="5">
        <v>1.7</v>
      </c>
      <c r="B175" s="4">
        <v>0</v>
      </c>
      <c r="C175" s="26">
        <v>14.36</v>
      </c>
      <c r="D175" s="27">
        <f t="shared" si="4"/>
        <v>0.14360000000000001</v>
      </c>
      <c r="E175" s="3">
        <v>1937</v>
      </c>
      <c r="F175" s="6">
        <f t="shared" si="5"/>
        <v>2.9698144531250001</v>
      </c>
    </row>
    <row r="176" spans="1:6" x14ac:dyDescent="0.25">
      <c r="A176" s="5">
        <v>1.71</v>
      </c>
      <c r="B176" s="4">
        <v>0</v>
      </c>
      <c r="C176" s="26">
        <v>15.44</v>
      </c>
      <c r="D176" s="27">
        <f t="shared" si="4"/>
        <v>0.15439999999999998</v>
      </c>
      <c r="E176" s="3">
        <v>1953</v>
      </c>
      <c r="F176" s="6">
        <f t="shared" si="5"/>
        <v>2.994345703125</v>
      </c>
    </row>
    <row r="177" spans="1:6" x14ac:dyDescent="0.25">
      <c r="A177" s="5">
        <v>1.72</v>
      </c>
      <c r="B177" s="4">
        <v>0</v>
      </c>
      <c r="C177" s="26">
        <v>13.94</v>
      </c>
      <c r="D177" s="27">
        <f t="shared" si="4"/>
        <v>0.1394</v>
      </c>
      <c r="E177" s="3">
        <v>1955</v>
      </c>
      <c r="F177" s="6">
        <f t="shared" si="5"/>
        <v>2.9974121093749999</v>
      </c>
    </row>
    <row r="178" spans="1:6" x14ac:dyDescent="0.25">
      <c r="A178" s="5">
        <v>1.73</v>
      </c>
      <c r="B178" s="4">
        <v>0</v>
      </c>
      <c r="C178" s="26">
        <v>15.03</v>
      </c>
      <c r="D178" s="27">
        <f t="shared" si="4"/>
        <v>0.15029999999999999</v>
      </c>
      <c r="E178" s="3">
        <v>1967</v>
      </c>
      <c r="F178" s="6">
        <f t="shared" si="5"/>
        <v>3.0158105468750001</v>
      </c>
    </row>
    <row r="179" spans="1:6" x14ac:dyDescent="0.25">
      <c r="A179" s="5">
        <v>1.74</v>
      </c>
      <c r="B179" s="4">
        <v>0</v>
      </c>
      <c r="C179" s="26">
        <v>13.48</v>
      </c>
      <c r="D179" s="27">
        <f t="shared" si="4"/>
        <v>0.1348</v>
      </c>
      <c r="E179" s="3">
        <v>1976</v>
      </c>
      <c r="F179" s="6">
        <f t="shared" si="5"/>
        <v>3.0296093750000002</v>
      </c>
    </row>
    <row r="180" spans="1:6" x14ac:dyDescent="0.25">
      <c r="A180" s="5">
        <v>1.75</v>
      </c>
      <c r="B180" s="4">
        <v>0</v>
      </c>
      <c r="C180" s="26">
        <v>14.04</v>
      </c>
      <c r="D180" s="27">
        <f t="shared" si="4"/>
        <v>0.1404</v>
      </c>
      <c r="E180" s="3">
        <v>1990</v>
      </c>
      <c r="F180" s="6">
        <f t="shared" si="5"/>
        <v>3.0510742187500002</v>
      </c>
    </row>
    <row r="181" spans="1:6" x14ac:dyDescent="0.25">
      <c r="A181" s="5">
        <v>1.76</v>
      </c>
      <c r="B181" s="4">
        <v>1</v>
      </c>
      <c r="C181" s="26">
        <v>13.43</v>
      </c>
      <c r="D181" s="27">
        <f t="shared" si="4"/>
        <v>0.1343</v>
      </c>
      <c r="E181" s="3">
        <v>1997</v>
      </c>
      <c r="F181" s="6">
        <f t="shared" si="5"/>
        <v>3.061806640625</v>
      </c>
    </row>
    <row r="182" spans="1:6" x14ac:dyDescent="0.25">
      <c r="A182" s="5">
        <v>1.77</v>
      </c>
      <c r="B182" s="4">
        <v>1</v>
      </c>
      <c r="C182" s="26">
        <v>13.12</v>
      </c>
      <c r="D182" s="27">
        <f t="shared" si="4"/>
        <v>0.13119999999999998</v>
      </c>
      <c r="E182" s="3">
        <v>1995</v>
      </c>
      <c r="F182" s="6">
        <f t="shared" si="5"/>
        <v>3.0587402343750001</v>
      </c>
    </row>
    <row r="183" spans="1:6" x14ac:dyDescent="0.25">
      <c r="A183" s="5">
        <v>1.78</v>
      </c>
      <c r="B183" s="4">
        <v>1</v>
      </c>
      <c r="C183" s="26">
        <v>12.66</v>
      </c>
      <c r="D183" s="27">
        <f t="shared" si="4"/>
        <v>0.12659999999999999</v>
      </c>
      <c r="E183" s="3">
        <v>2010</v>
      </c>
      <c r="F183" s="6">
        <f t="shared" si="5"/>
        <v>3.0817382812500003</v>
      </c>
    </row>
    <row r="184" spans="1:6" x14ac:dyDescent="0.25">
      <c r="A184" s="5">
        <v>1.79</v>
      </c>
      <c r="B184" s="4">
        <v>1</v>
      </c>
      <c r="C184" s="26">
        <v>13.63</v>
      </c>
      <c r="D184" s="27">
        <f t="shared" si="4"/>
        <v>0.1363</v>
      </c>
      <c r="E184" s="3">
        <v>2012</v>
      </c>
      <c r="F184" s="6">
        <f t="shared" si="5"/>
        <v>3.0848046875000001</v>
      </c>
    </row>
    <row r="185" spans="1:6" x14ac:dyDescent="0.25">
      <c r="A185" s="5">
        <v>1.8</v>
      </c>
      <c r="B185" s="4">
        <v>1</v>
      </c>
      <c r="C185" s="26">
        <v>13.43</v>
      </c>
      <c r="D185" s="27">
        <f t="shared" si="4"/>
        <v>0.1343</v>
      </c>
      <c r="E185" s="3">
        <v>2027</v>
      </c>
      <c r="F185" s="6">
        <f t="shared" si="5"/>
        <v>3.1078027343750003</v>
      </c>
    </row>
    <row r="186" spans="1:6" x14ac:dyDescent="0.25">
      <c r="A186" s="5">
        <v>1.81</v>
      </c>
      <c r="B186" s="4">
        <v>1</v>
      </c>
      <c r="C186" s="26">
        <v>13.55</v>
      </c>
      <c r="D186" s="27">
        <f t="shared" si="4"/>
        <v>0.13550000000000001</v>
      </c>
      <c r="E186" s="3">
        <v>2017</v>
      </c>
      <c r="F186" s="6">
        <f t="shared" si="5"/>
        <v>3.0924707031250001</v>
      </c>
    </row>
    <row r="187" spans="1:6" x14ac:dyDescent="0.25">
      <c r="A187" s="5">
        <v>1.82</v>
      </c>
      <c r="B187" s="4">
        <v>1</v>
      </c>
      <c r="C187" s="26">
        <v>14.52</v>
      </c>
      <c r="D187" s="27">
        <f t="shared" si="4"/>
        <v>0.1452</v>
      </c>
      <c r="E187" s="3">
        <v>2015</v>
      </c>
      <c r="F187" s="6">
        <f t="shared" si="5"/>
        <v>3.0894042968750002</v>
      </c>
    </row>
    <row r="188" spans="1:6" x14ac:dyDescent="0.25">
      <c r="A188" s="5">
        <v>1.83</v>
      </c>
      <c r="B188" s="4">
        <v>1</v>
      </c>
      <c r="C188" s="26">
        <v>13.48</v>
      </c>
      <c r="D188" s="27">
        <f t="shared" si="4"/>
        <v>0.1348</v>
      </c>
      <c r="E188" s="3">
        <v>2012</v>
      </c>
      <c r="F188" s="6">
        <f t="shared" si="5"/>
        <v>3.0848046875000001</v>
      </c>
    </row>
    <row r="189" spans="1:6" x14ac:dyDescent="0.25">
      <c r="A189" s="5">
        <v>1.84</v>
      </c>
      <c r="B189" s="4">
        <v>1</v>
      </c>
      <c r="C189" s="26">
        <v>15.03</v>
      </c>
      <c r="D189" s="27">
        <f t="shared" si="4"/>
        <v>0.15029999999999999</v>
      </c>
      <c r="E189" s="3">
        <v>2010</v>
      </c>
      <c r="F189" s="6">
        <f t="shared" si="5"/>
        <v>3.0817382812500003</v>
      </c>
    </row>
    <row r="190" spans="1:6" x14ac:dyDescent="0.25">
      <c r="A190" s="5">
        <v>1.85</v>
      </c>
      <c r="B190" s="4">
        <v>1</v>
      </c>
      <c r="C190" s="26">
        <v>13.94</v>
      </c>
      <c r="D190" s="27">
        <f t="shared" si="4"/>
        <v>0.1394</v>
      </c>
      <c r="E190" s="3">
        <v>1999</v>
      </c>
      <c r="F190" s="6">
        <f t="shared" si="5"/>
        <v>3.0648730468750003</v>
      </c>
    </row>
    <row r="191" spans="1:6" x14ac:dyDescent="0.25">
      <c r="A191" s="5">
        <v>1.86</v>
      </c>
      <c r="B191" s="4">
        <v>1</v>
      </c>
      <c r="C191" s="26">
        <v>15.13</v>
      </c>
      <c r="D191" s="27">
        <f t="shared" si="4"/>
        <v>0.15130000000000002</v>
      </c>
      <c r="E191" s="3">
        <v>2001</v>
      </c>
      <c r="F191" s="6">
        <f t="shared" si="5"/>
        <v>3.0679394531250002</v>
      </c>
    </row>
    <row r="192" spans="1:6" x14ac:dyDescent="0.25">
      <c r="A192" s="5">
        <v>1.87</v>
      </c>
      <c r="B192" s="4">
        <v>1</v>
      </c>
      <c r="C192" s="26">
        <v>15.79</v>
      </c>
      <c r="D192" s="27">
        <f t="shared" si="4"/>
        <v>0.15789999999999998</v>
      </c>
      <c r="E192" s="3">
        <v>1998</v>
      </c>
      <c r="F192" s="6">
        <f t="shared" si="5"/>
        <v>3.0633398437500001</v>
      </c>
    </row>
    <row r="193" spans="1:6" x14ac:dyDescent="0.25">
      <c r="A193" s="5">
        <v>1.88</v>
      </c>
      <c r="B193" s="4">
        <v>0</v>
      </c>
      <c r="C193" s="26">
        <v>15.23</v>
      </c>
      <c r="D193" s="27">
        <f t="shared" si="4"/>
        <v>0.15229999999999999</v>
      </c>
      <c r="E193" s="3">
        <v>1987</v>
      </c>
      <c r="F193" s="6">
        <f t="shared" si="5"/>
        <v>3.0464746093750001</v>
      </c>
    </row>
    <row r="194" spans="1:6" x14ac:dyDescent="0.25">
      <c r="A194" s="5">
        <v>1.89</v>
      </c>
      <c r="B194" s="4">
        <v>0</v>
      </c>
      <c r="C194" s="26">
        <v>15.54</v>
      </c>
      <c r="D194" s="27">
        <f t="shared" si="4"/>
        <v>0.15539999999999998</v>
      </c>
      <c r="E194" s="3">
        <v>1975</v>
      </c>
      <c r="F194" s="6">
        <f t="shared" si="5"/>
        <v>3.028076171875</v>
      </c>
    </row>
    <row r="195" spans="1:6" x14ac:dyDescent="0.25">
      <c r="A195" s="5">
        <v>1.9</v>
      </c>
      <c r="B195" s="4">
        <v>0</v>
      </c>
      <c r="C195" s="26">
        <v>15.59</v>
      </c>
      <c r="D195" s="27">
        <f t="shared" si="4"/>
        <v>0.15590000000000001</v>
      </c>
      <c r="E195" s="3">
        <v>1965</v>
      </c>
      <c r="F195" s="6">
        <f t="shared" si="5"/>
        <v>3.0127441406250002</v>
      </c>
    </row>
    <row r="196" spans="1:6" x14ac:dyDescent="0.25">
      <c r="A196" s="5">
        <v>1.91</v>
      </c>
      <c r="B196" s="4">
        <v>0</v>
      </c>
      <c r="C196" s="26">
        <v>15.54</v>
      </c>
      <c r="D196" s="27">
        <f t="shared" si="4"/>
        <v>0.15539999999999998</v>
      </c>
      <c r="E196" s="3">
        <v>1964</v>
      </c>
      <c r="F196" s="6">
        <f t="shared" si="5"/>
        <v>3.0112109375</v>
      </c>
    </row>
    <row r="197" spans="1:6" x14ac:dyDescent="0.25">
      <c r="A197" s="5">
        <v>1.92</v>
      </c>
      <c r="B197" s="4">
        <v>1</v>
      </c>
      <c r="C197" s="26">
        <v>15.23</v>
      </c>
      <c r="D197" s="27">
        <f t="shared" si="4"/>
        <v>0.15229999999999999</v>
      </c>
      <c r="E197" s="3">
        <v>1967</v>
      </c>
      <c r="F197" s="6">
        <f t="shared" si="5"/>
        <v>3.0158105468750001</v>
      </c>
    </row>
    <row r="198" spans="1:6" x14ac:dyDescent="0.25">
      <c r="A198" s="5">
        <v>1.93</v>
      </c>
      <c r="B198" s="4">
        <v>1</v>
      </c>
      <c r="C198" s="26">
        <v>15.13</v>
      </c>
      <c r="D198" s="27">
        <f t="shared" ref="D198:D204" si="6">C198/100</f>
        <v>0.15130000000000002</v>
      </c>
      <c r="E198" s="3">
        <v>1525</v>
      </c>
      <c r="F198" s="6">
        <f t="shared" ref="F198:F204" si="7">E198*2*3.14/4096</f>
        <v>2.338134765625</v>
      </c>
    </row>
    <row r="199" spans="1:6" x14ac:dyDescent="0.25">
      <c r="A199" s="5">
        <v>1.94</v>
      </c>
      <c r="B199" s="4">
        <v>1</v>
      </c>
      <c r="C199" s="26">
        <v>15.18</v>
      </c>
      <c r="D199" s="27">
        <f t="shared" si="6"/>
        <v>0.15179999999999999</v>
      </c>
      <c r="E199" s="3">
        <v>1963</v>
      </c>
      <c r="F199" s="6">
        <f t="shared" si="7"/>
        <v>3.0096777343750003</v>
      </c>
    </row>
    <row r="200" spans="1:6" x14ac:dyDescent="0.25">
      <c r="A200" s="5">
        <v>1.95</v>
      </c>
      <c r="B200" s="4">
        <v>1</v>
      </c>
      <c r="C200" s="26">
        <v>15.69</v>
      </c>
      <c r="D200" s="27">
        <f t="shared" si="6"/>
        <v>0.15689999999999998</v>
      </c>
      <c r="E200" s="3">
        <v>1959</v>
      </c>
      <c r="F200" s="6">
        <f t="shared" si="7"/>
        <v>3.0035449218750001</v>
      </c>
    </row>
    <row r="201" spans="1:6" x14ac:dyDescent="0.25">
      <c r="A201" s="5">
        <v>1.96</v>
      </c>
      <c r="B201" s="4">
        <v>0</v>
      </c>
      <c r="C201" s="26">
        <v>16.25</v>
      </c>
      <c r="D201" s="27">
        <f t="shared" si="6"/>
        <v>0.16250000000000001</v>
      </c>
      <c r="E201" s="3">
        <v>1957</v>
      </c>
      <c r="F201" s="6">
        <f t="shared" si="7"/>
        <v>3.0004785156250002</v>
      </c>
    </row>
    <row r="202" spans="1:6" x14ac:dyDescent="0.25">
      <c r="A202" s="5">
        <v>1.97</v>
      </c>
      <c r="B202" s="4">
        <v>0</v>
      </c>
      <c r="C202" s="26">
        <v>15.54</v>
      </c>
      <c r="D202" s="27">
        <f t="shared" si="6"/>
        <v>0.15539999999999998</v>
      </c>
      <c r="E202" s="3">
        <v>1970</v>
      </c>
      <c r="F202" s="6">
        <f t="shared" si="7"/>
        <v>3.0204101562500001</v>
      </c>
    </row>
    <row r="203" spans="1:6" x14ac:dyDescent="0.25">
      <c r="A203" s="5">
        <v>1.98</v>
      </c>
      <c r="B203" s="4">
        <v>0</v>
      </c>
      <c r="C203" s="26">
        <v>15.54</v>
      </c>
      <c r="D203" s="27">
        <f t="shared" si="6"/>
        <v>0.15539999999999998</v>
      </c>
      <c r="E203" s="3">
        <v>1963</v>
      </c>
      <c r="F203" s="6">
        <f t="shared" si="7"/>
        <v>3.0096777343750003</v>
      </c>
    </row>
    <row r="204" spans="1:6" x14ac:dyDescent="0.25">
      <c r="A204" s="5">
        <v>1.99</v>
      </c>
      <c r="B204" s="4">
        <v>0</v>
      </c>
      <c r="C204" s="26">
        <v>15.74</v>
      </c>
      <c r="D204" s="27">
        <f t="shared" si="6"/>
        <v>0.15740000000000001</v>
      </c>
      <c r="E204" s="3">
        <v>1959</v>
      </c>
      <c r="F204" s="6">
        <f t="shared" si="7"/>
        <v>3.0035449218750001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3123-30F9-4D81-ABED-D50BCB164BC8}">
  <dimension ref="F2:W13"/>
  <sheetViews>
    <sheetView topLeftCell="E1" workbookViewId="0">
      <selection activeCell="G6" sqref="G6"/>
    </sheetView>
  </sheetViews>
  <sheetFormatPr defaultRowHeight="15" x14ac:dyDescent="0.25"/>
  <cols>
    <col min="6" max="6" width="12.85546875" customWidth="1"/>
    <col min="7" max="7" width="16.28515625" customWidth="1"/>
    <col min="15" max="15" width="11.5703125" bestFit="1" customWidth="1"/>
    <col min="16" max="16" width="12.28515625" bestFit="1" customWidth="1"/>
    <col min="17" max="17" width="11.5703125" bestFit="1" customWidth="1"/>
  </cols>
  <sheetData>
    <row r="2" spans="6:23" x14ac:dyDescent="0.25">
      <c r="F2" s="20" t="s">
        <v>7</v>
      </c>
      <c r="G2" s="21"/>
      <c r="J2" s="22" t="s">
        <v>8</v>
      </c>
      <c r="K2" s="23"/>
      <c r="L2" s="23"/>
      <c r="M2" s="23"/>
      <c r="N2" s="24"/>
    </row>
    <row r="3" spans="6:23" x14ac:dyDescent="0.25">
      <c r="F3" s="11" t="s">
        <v>9</v>
      </c>
      <c r="G3" s="11">
        <v>30</v>
      </c>
      <c r="H3">
        <v>150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W3" s="13"/>
    </row>
    <row r="4" spans="6:23" x14ac:dyDescent="0.25">
      <c r="F4" s="11" t="s">
        <v>15</v>
      </c>
      <c r="G4" s="11">
        <v>900</v>
      </c>
      <c r="H4">
        <v>300</v>
      </c>
      <c r="J4" s="12">
        <v>1</v>
      </c>
      <c r="K4" s="12">
        <f>0.2332+1.084*G3</f>
        <v>32.7532</v>
      </c>
      <c r="L4" s="12">
        <f>-45.28+0.5054*G3+1.084*G4</f>
        <v>945.48199999999997</v>
      </c>
      <c r="M4" s="12">
        <f>-12.32+0.5054*G4+1.084*G5</f>
        <v>496.73999999999995</v>
      </c>
      <c r="N4" s="12">
        <f>0.5054*G5</f>
        <v>25.27</v>
      </c>
    </row>
    <row r="5" spans="6:23" x14ac:dyDescent="0.25">
      <c r="F5" s="11" t="s">
        <v>16</v>
      </c>
      <c r="G5" s="11">
        <v>50</v>
      </c>
      <c r="H5">
        <v>50</v>
      </c>
    </row>
    <row r="7" spans="6:23" x14ac:dyDescent="0.25">
      <c r="J7" s="25" t="s">
        <v>17</v>
      </c>
      <c r="K7" s="25"/>
      <c r="L7" s="25"/>
      <c r="M7" s="25"/>
      <c r="N7" s="25"/>
      <c r="O7" s="25"/>
    </row>
    <row r="8" spans="6:23" x14ac:dyDescent="0.25">
      <c r="F8" s="16" t="s">
        <v>23</v>
      </c>
      <c r="G8">
        <f>G4+(G5/2*0.01)+(2*G3/0.01)</f>
        <v>6900.25</v>
      </c>
      <c r="H8">
        <f>G8*0.001534</f>
        <v>10.5849835</v>
      </c>
      <c r="J8" s="14" t="s">
        <v>18</v>
      </c>
      <c r="K8" s="15">
        <v>1</v>
      </c>
      <c r="L8" s="15">
        <f>L4</f>
        <v>945.48199999999997</v>
      </c>
      <c r="M8" s="15">
        <f>N4</f>
        <v>25.27</v>
      </c>
      <c r="N8" s="15">
        <v>0</v>
      </c>
      <c r="O8" s="15">
        <v>0</v>
      </c>
    </row>
    <row r="9" spans="6:23" x14ac:dyDescent="0.25">
      <c r="F9" s="16" t="s">
        <v>24</v>
      </c>
      <c r="G9">
        <f>-G4+(G5*0.01/2)-(4*G3/0.01)</f>
        <v>-12899.75</v>
      </c>
      <c r="H9">
        <f t="shared" ref="H9:H10" si="0">G9*0.001534</f>
        <v>-19.788216500000001</v>
      </c>
      <c r="J9" s="14" t="s">
        <v>19</v>
      </c>
      <c r="K9" s="15">
        <f>K4</f>
        <v>32.7532</v>
      </c>
      <c r="L9" s="15">
        <f>M4</f>
        <v>496.73999999999995</v>
      </c>
      <c r="M9" s="15">
        <v>0</v>
      </c>
      <c r="N9" s="15">
        <v>0</v>
      </c>
      <c r="O9" s="15">
        <v>0</v>
      </c>
    </row>
    <row r="10" spans="6:23" x14ac:dyDescent="0.25">
      <c r="F10" s="16" t="s">
        <v>25</v>
      </c>
      <c r="G10">
        <f>2*G3/0.01</f>
        <v>6000</v>
      </c>
      <c r="H10">
        <f t="shared" si="0"/>
        <v>9.2040000000000006</v>
      </c>
      <c r="J10" s="14" t="s">
        <v>20</v>
      </c>
      <c r="K10" s="3">
        <f>((K9*L8)-(K8*L9))/K9</f>
        <v>930.31584829573887</v>
      </c>
      <c r="L10" s="3">
        <f>((K9*M8)-(K8*M9))/K9</f>
        <v>25.27</v>
      </c>
      <c r="M10" s="3">
        <f>((K9*N8)-(K8*N9))/K9</f>
        <v>0</v>
      </c>
      <c r="N10" s="3"/>
      <c r="O10" s="3"/>
    </row>
    <row r="11" spans="6:23" x14ac:dyDescent="0.25">
      <c r="J11" s="14" t="s">
        <v>21</v>
      </c>
      <c r="K11" s="3">
        <f>((K10*L9)-(K9*L10))/K10</f>
        <v>495.85033079193886</v>
      </c>
      <c r="L11" s="3">
        <f>((K10*M9)-(K9*M10))/K10</f>
        <v>0</v>
      </c>
      <c r="M11" s="3">
        <f>((K10*N9)-(K9*N10))/K10</f>
        <v>0</v>
      </c>
      <c r="N11" s="3"/>
      <c r="O11" s="3"/>
    </row>
    <row r="12" spans="6:23" x14ac:dyDescent="0.25">
      <c r="J12" s="14" t="s">
        <v>22</v>
      </c>
      <c r="K12" s="3">
        <f>((K11*L10)-(K10*L11))/K11</f>
        <v>25.27</v>
      </c>
      <c r="L12" s="3"/>
      <c r="M12" s="3"/>
      <c r="N12" s="3"/>
      <c r="O12" s="3"/>
    </row>
    <row r="13" spans="6:23" x14ac:dyDescent="0.25">
      <c r="H13">
        <f>H8+H9+H10</f>
        <v>7.6699999999974011E-4</v>
      </c>
    </row>
  </sheetData>
  <mergeCells count="3">
    <mergeCell ref="F2:G2"/>
    <mergeCell ref="J2:N2"/>
    <mergeCell ref="J7:O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Critério de Routh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Pábulo Ferreira</dc:creator>
  <cp:lastModifiedBy>Pábulo Ferreira</cp:lastModifiedBy>
  <dcterms:created xsi:type="dcterms:W3CDTF">2025-07-28T21:01:57Z</dcterms:created>
  <dcterms:modified xsi:type="dcterms:W3CDTF">2025-10-07T12:50:09Z</dcterms:modified>
</cp:coreProperties>
</file>